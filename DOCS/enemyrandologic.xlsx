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ogic" sheetId="1" r:id="rId1"/>
    <sheet name="Settings" sheetId="2" r:id="rId2"/>
    <sheet name="Areas" sheetId="3" r:id="rId3"/>
    <sheet name="Roster" sheetId="4" r:id="rId4"/>
    <sheet name="Monsters" sheetId="5" r:id="rId5"/>
    <sheet name="ScalingExample" sheetId="6" r:id="rId6"/>
    <sheet name="Implementation" sheetId="7" r:id="rId7"/>
  </sheets>
  <calcPr calcId="191029" fullCalcOnLoad="1"/>
</workbook>
</file>

<file path=xl/styles.xml><?xml version="1.0" encoding="utf-8"?>
<styleSheet xmlns="http://schemas.openxmlformats.org/spreadsheetml/2006/main">
  <numFmts count="1">
    <numFmt numFmtId="164" formatCode="0.0"/>
  </numFmts>
  <fonts count="5">
    <font>
      <sz val="10"/>
      <name val="Arial"/>
    </font>
    <font>
      <b/>
      <sz val="10"/>
      <name val="Arial"/>
    </font>
    <font>
      <sz val="10"/>
      <color rgb="FF0000FF"/>
      <name val="Arial"/>
    </font>
    <font>
      <b/>
      <sz val="14"/>
      <name val="Arial"/>
    </font>
    <font>
      <b/>
      <sz val="11"/>
      <color rgb="FF1F3864"/>
      <name val="Arial"/>
    </font>
  </fonts>
  <fills count="4">
    <fill>
      <patternFill patternType="none"/>
    </fill>
    <fill>
      <patternFill patternType="gray125"/>
    </fill>
    <fill>
      <patternFill patternType="solid">
        <fgColor rgb="FFD9D9D9"/>
      </patternFill>
    </fill>
    <fill>
      <patternFill patternType="solid">
        <fgColor rgb="FFFFFF0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wrapText="1" vertical="top"/>
    </xf>
    <xf numFmtId="0" fontId="2" fillId="3" borderId="0" xfId="0" applyFont="1" applyFill="1"/>
    <xf numFmtId="0" fontId="0" fillId="0" borderId="0" xfId="0" applyAlignment="1">
      <alignment wrapText="1" vertical="top"/>
    </xf>
    <xf numFmtId="0" fontId="3" fillId="0" borderId="0" xfId="0" applyFont="1"/>
    <xf numFmtId="164" fontId="0" fillId="0" borderId="0" xfId="0" applyNumberFormat="1"/>
    <xf numFmtId="0" fontId="4" fillId="0" borderId="0" xfId="0" applyFont="1"/>
    <xf numFmtId="164" fontId="0" fillId="0" borderId="0" xfId="0" applyNumberFormat="1"/>
    <xf numFmtId="0" fontId="1" fillId="0" borderId="0" xfId="0" applyFont="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c r="A1" s="4" t="inlineStr">
        <is>
          <t xml:space="preserve">Enemy randomizer: progression-aware placement (design)</t>
        </is>
      </c>
    </row>
    <row r="2">
      <c r="A2" s="3" t="inlineStr">
        <is>
          <t xml:space="preserve">Quest 64 Recomp, 2026-09-20. Data on the Areas / Roster / Monsters tabs is the US ROM's, read out of the Merrow tables the randomizer already ships. Yellow cells are inputs; change them and the sheet recalculates.</t>
        </is>
      </c>
    </row>
    <row r="3"/>
    <row r="4">
      <c r="A4" s="6" t="inlineStr">
        <is>
          <t xml:space="preserve">The problem</t>
        </is>
      </c>
    </row>
    <row r="5">
      <c r="A5" s="3" t="inlineStr">
        <is>
          <t xml:space="preserve">Merrow's two enemy options are blind to difficulty. "Enemy tables" swaps whole monster tables between areas at random, so the Holy Plains can draw the Dindom Dries table (Red Wyvern, 550 HP, against a 50 HP Brian) while Brannoch Castle gets Were Hares. "Enemy composition" only rerolls packs inside an area's own table, so nothing actually changes hands. Neither touches stats, so a moved monster keeps its home numbers.</t>
        </is>
      </c>
    </row>
    <row r="6"/>
    <row r="7">
      <c r="A7" s="6" t="inlineStr">
        <is>
          <t xml:space="preserve">The idea, in one line</t>
        </is>
      </c>
    </row>
    <row r="8">
      <c r="A8" s="3" t="inlineStr">
        <is>
          <t xml:space="preserve">Give every area a tier (1-8, story order) and every monster a native tier (the tier of the area it comes from). An area of tier T draws its roster only from monsters whose native tier is within a chosen spread of T, and every placed monster has its stats rescaled toward the destination area's budget, so the shape of the monster (glass cannon, tank, fast) survives but its numbers match where it now lives. The budget never goes down from one area to the next, so the game always gets progressively harder regardless of what the seed placed where. Exp and stones follow the destination budget, so levelling pace is unchanged.</t>
        </is>
      </c>
    </row>
    <row r="9"/>
    <row r="10">
      <c r="A10" s="6" t="inlineStr">
        <is>
          <t xml:space="preserve">Rules</t>
        </is>
      </c>
    </row>
    <row r="11">
      <c r="A11" s="3" t="inlineStr">
        <is>
          <t xml:space="preserve">1. Tiers (Areas tab, column C): T1 Holy Plains / Connor Forest, T2 Dondoran Flats / Glencoe Forest / West Carmaugh, T3 Cull Hazard / East Limelin, T4 Windward Forest / Blue Cave / Isle of Skye, T5 Baragoon Tunnel, T6 Dindom Dries / Boil Hole, T7 Baragoon Moor / Brannoch Castle, T8 Mammon's World. Editable.</t>
        </is>
      </c>
    </row>
    <row r="12">
      <c r="A12" s="3" t="inlineStr">
        <is>
          <t xml:space="preserve">2. Monster native tier = tier of its home area (first area it appears in, by progression). The Monsters tab also computes a Power score from stats and a Power tier from thresholds (Settings), so you can see where a monster really sits versus where the game puts it (e.g. Cockatrice is T2 by area but T3 by numbers).</t>
        </is>
      </c>
    </row>
    <row r="13">
      <c r="A13" s="3" t="inlineStr">
        <is>
          <t xml:space="preserve">3. Spread (Settings B4 down / B5 up). Default 7 / 7: any monster set can appear in any area, the scaling below is what balances it. Narrower spreads (e.g. 1 / 1) keep an area to sets whose monsters are within that many tiers of its own; 0 / 0 is a reshuffle within difficulty bands. Note the game\x27s monsters come in six fixed sets that are placed whole (see Implementation), so the window applies to sets, not single monsters.</t>
        </is>
      </c>
    </row>
    <row r="14">
      <c r="A14" s="3" t="inlineStr">
        <is>
          <t xml:space="preserve">4. Roster size stays the same. Each area keeps its vanilla number of distinct monsters (Areas column E), because the pack definitions reference table slots 0..N-1 and the packs' shapes (how many of each, min + extra) are kept as they are. The randomizer fills those slots from the allowed pool, no repeats within an area, and prefers monsters not already used by a neighbouring tier so the game does not become the same eight enemies everywhere.</t>
        </is>
      </c>
    </row>
    <row r="15">
      <c r="A15" s="3" t="inlineStr">
        <is>
          <t xml:space="preserve">5. Stat scaling (Settings B6). For a monster placed in area A: factor = AreaAvg(A, stat) / AreaAvg(home, stat); new = round(own * factor ^ k * guard(A)). k = 1.0 fits the monster fully to the new area, 0.5 meets halfway, 0 leaves stats alone (not recommended). EXP always uses k = 1. HP capped at 999, ATK/DEF/AGI at 255. See ScalingExample for a live worked example.</t>
        </is>
      </c>
    </row>
    <row r="16">
      <c r="A16" s="3" t="inlineStr">
        <is>
          <t xml:space="preserve">6. Progression guard (Areas columns M-N). Each area gets a budget = MAX(its own vanilla average power, the previous area's budget), so budgets never fall as you move through the game. guard(A) = budget / own average power, which is 1.0 wherever vanilla already climbs and &gt; 1 where it dips (East Limelin -&gt; Windward Forest is the one real dip). Applied to every placed monster, this is what makes the randomized game strictly progressively harder.</t>
        </is>
      </c>
    </row>
    <row r="17">
      <c r="A17" s="3" t="inlineStr">
        <is>
          <t xml:space="preserve">7. Flying and dangerous flags (Monsters K-L) are informational only: nothing is excluded from any area. Cockatrice keeps its petrify wherever it lands, so it is the one monster whose danger the numbers do not capture; Settings B8 = Y pins it (and Flamed Mane) at their native tier or above if that proves too harsh early.</t>
        </is>
      </c>
    </row>
    <row r="18">
      <c r="A18" s="3" t="inlineStr">
        <is>
          <t xml:space="preserve">8. Bosses are out of scope. The boss logic that already exists in the randomizer stays as it is; nothing here moves, rescales or reads the boss entries (monster ids 67+).</t>
        </is>
      </c>
    </row>
    <row r="19">
      <c r="A19" s="3" t="inlineStr">
        <is>
          <t xml:space="preserve">9. Same seed, same result: the placement is a pure function of the seed and these settings, so a seed can be shared like any other randomizer seed, and the spoiler log lists each area's new roster with the scaled stats.</t>
        </is>
      </c>
    </row>
    <row r="20"/>
    <row r="21">
      <c r="A21" s="6" t="inlineStr">
        <is>
          <t xml:space="preserve">Why this is cheap to build</t>
        </is>
      </c>
    </row>
    <row r="22">
      <c r="A22" s="3" t="inlineStr">
        <is>
          <t xml:space="preserve">Everything it changes is ROM data the randomizer already writes at boot: the area's table index (map header), the pack member ids, and each monster's six stat halfwords (Monsters column S has the ROM address). No native hooks and no recompiled code. The one engine question to verify is whether a table can mix monsters from different world chunks (the Implementation tab explains).</t>
        </is>
      </c>
    </row>
  </sheetData>
</worksheet>
</file>

<file path=xl/worksheets/sheet2.xml><?xml version="1.0" encoding="utf-8"?>
<worksheet xmlns="http://schemas.openxmlformats.org/spreadsheetml/2006/main">
  <sheetViews>
    <sheetView workbookViewId="0"/>
  </sheetViews>
  <cols>
    <col min="1" max="1" width="34" customWidth="1"/>
    <col min="2" max="2" width="12" customWidth="1"/>
    <col min="3" max="3" width="90" customWidth="1"/>
  </cols>
  <sheetData>
    <row r="1">
      <c r="A1" s="4" t="inlineStr">
        <is>
          <t xml:space="preserve">Settings (inputs)</t>
        </is>
      </c>
    </row>
    <row r="2">
      <c r="A2" s="3" t="inlineStr">
        <is>
          <t xml:space="preserve">Yellow cells are the knobs the design refers to. Everything else on the other tabs is calculated from these and the game data.</t>
        </is>
      </c>
    </row>
    <row r="3">
      <c r="A3" s="1" t="inlineStr">
        <is>
          <t xml:space="preserve">Setting</t>
        </is>
      </c>
      <c r="B3" s="1" t="inlineStr">
        <is>
          <t xml:space="preserve">Value</t>
        </is>
      </c>
      <c r="C3" s="1" t="inlineStr">
        <is>
          <t xml:space="preserve">What it does</t>
        </is>
      </c>
    </row>
    <row r="4">
      <c r="A4" s="0" t="inlineStr">
        <is>
          <t xml:space="preserve">Spread down (tiers below)</t>
        </is>
      </c>
      <c r="B4" s="2">
        <v>7</v>
      </c>
      <c r="C4" s="3" t="inlineStr">
        <is>
          <t xml:space="preserve">An area may take monsters from this many tiers BELOW its own (easier monsters, scaled up). 7 = any tier (the default: placement is unrestricted, the scaling does the balancing). 0 = none.</t>
        </is>
      </c>
    </row>
    <row r="5">
      <c r="A5" s="0" t="inlineStr">
        <is>
          <t xml:space="preserve">Spread up (tiers above)</t>
        </is>
      </c>
      <c r="B5" s="2">
        <v>1</v>
      </c>
      <c r="C5" s="3" t="inlineStr">
        <is>
          <t xml:space="preserve">An area may take monsters from this many tiers ABOVE its own (harder monsters, scaled down). 0 = none. 7 = anything (Merrow's behaviour).</t>
        </is>
      </c>
    </row>
    <row r="6">
      <c r="A6" s="0" t="inlineStr">
        <is>
          <t xml:space="preserve">Scaling strength k</t>
        </is>
      </c>
      <c r="B6" s="2">
        <v>1</v>
      </c>
      <c r="C6" s="3" t="inlineStr">
        <is>
          <t xml:space="preserve">0 = keep home stats, 0.5 = halfway to the destination area's average, 1 = full fit. EXP and the progression guard always use 1.</t>
        </is>
      </c>
    </row>
    <row r="7">
      <c r="A7" s="0" t="inlineStr">
        <is>
          <t xml:space="preserve">Max fliers per area</t>
        </is>
      </c>
      <c r="B7" s="2">
        <v>99</v>
      </c>
      <c r="C7" s="3" t="inlineStr">
        <is>
          <t xml:space="preserve">Not enforced (any monster may appear anywhere); kept for reference. The ROM flags only Wyvern, Will-o\x27-Wisp and Pixie as flying.</t>
        </is>
      </c>
    </row>
    <row r="8">
      <c r="A8" s="0" t="inlineStr">
        <is>
          <t xml:space="preserve">Dangerous: keep at native tier or above</t>
        </is>
      </c>
      <c r="B8" s="2" t="inlineStr">
        <is>
          <t xml:space="preserve">N</t>
        </is>
      </c>
      <c r="C8" s="3" t="inlineStr">
        <is>
          <t xml:space="preserve">Off by default: Cockatrice / Flamed Mane may appear anywhere, rescaled like everything else. Y pins them at or above their native tier.</t>
        </is>
      </c>
    </row>
    <row r="9">
      <c r="A9" s="0" t="inlineStr">
        <is>
          <t xml:space="preserve">Bulk: DEF weight</t>
        </is>
      </c>
      <c r="B9" s="2">
        <v>25</v>
      </c>
      <c r="C9" s="3" t="inlineStr">
        <is>
          <t xml:space="preserve">Bulk = HP * (1 + DEF / this). Larger = DEF matters less.</t>
        </is>
      </c>
    </row>
    <row r="10">
      <c r="A10" s="0" t="inlineStr">
        <is>
          <t xml:space="preserve">Threat: AGI weight</t>
        </is>
      </c>
      <c r="B10" s="2">
        <v>50</v>
      </c>
      <c r="C10" s="3" t="inlineStr">
        <is>
          <t xml:space="preserve">Threat = ATK * (1 + AGI / this). Larger = AGI matters less.</t>
        </is>
      </c>
    </row>
    <row r="11"/>
    <row r="12">
      <c r="A12" s="1" t="inlineStr">
        <is>
          <t xml:space="preserve">Power tier thresholds</t>
        </is>
      </c>
      <c r="B12" s="1" t="inlineStr">
        <is>
          <t xml:space="preserve">Power at least</t>
        </is>
      </c>
      <c r="C12" s="1" t="inlineStr">
        <is>
          <t xml:space="preserve">Tier</t>
        </is>
      </c>
    </row>
    <row r="13">
      <c r="A13" s="0" t="inlineStr">
        <is>
          <t xml:space="preserve">T2 from</t>
        </is>
      </c>
      <c r="B13" s="2">
        <v>30</v>
      </c>
      <c r="C13" s="0">
        <v>2</v>
      </c>
    </row>
    <row r="14">
      <c r="A14" s="0" t="inlineStr">
        <is>
          <t xml:space="preserve">T3 from</t>
        </is>
      </c>
      <c r="B14" s="2">
        <v>80</v>
      </c>
      <c r="C14" s="0">
        <v>3</v>
      </c>
    </row>
    <row r="15">
      <c r="A15" s="0" t="inlineStr">
        <is>
          <t xml:space="preserve">T4 from</t>
        </is>
      </c>
      <c r="B15" s="2">
        <v>100</v>
      </c>
      <c r="C15" s="0">
        <v>4</v>
      </c>
    </row>
    <row r="16">
      <c r="A16" s="0" t="inlineStr">
        <is>
          <t xml:space="preserve">T5 from</t>
        </is>
      </c>
      <c r="B16" s="2">
        <v>160</v>
      </c>
      <c r="C16" s="0">
        <v>5</v>
      </c>
    </row>
    <row r="17">
      <c r="A17" s="0" t="inlineStr">
        <is>
          <t xml:space="preserve">T6 from</t>
        </is>
      </c>
      <c r="B17" s="2">
        <v>250</v>
      </c>
      <c r="C17" s="0">
        <v>6</v>
      </c>
    </row>
    <row r="18">
      <c r="A18" s="0" t="inlineStr">
        <is>
          <t xml:space="preserve">T7 from</t>
        </is>
      </c>
      <c r="B18" s="2">
        <v>360</v>
      </c>
      <c r="C18" s="0">
        <v>7</v>
      </c>
    </row>
    <row r="19">
      <c r="A19" s="0" t="inlineStr">
        <is>
          <t xml:space="preserve">T8 from</t>
        </is>
      </c>
      <c r="B19" s="2">
        <v>450</v>
      </c>
      <c r="C19" s="0">
        <v>8</v>
      </c>
    </row>
    <row r="20">
      <c r="A20" s="3" t="inlineStr">
        <is>
          <t xml:space="preserve">Power = SQRT(Bulk * Threat). Vanilla tier averages under the eight tiers: T1 15, T2 48, T3 119, T4 111, T5 187, T6 329, T7 397, T8 504 (T3 and T4 overlap: East Limelin is tougher by numbers than Windward/Blue Cave). Adjust and watch Monsters column P.</t>
        </is>
      </c>
    </row>
    <row r="21"/>
    <row r="22">
      <c r="A22" s="1" t="inlineStr">
        <is>
          <t xml:space="preserve">Stat caps</t>
        </is>
      </c>
      <c r="B22" s="1" t="inlineStr">
        <is>
          <t xml:space="preserve">Cap</t>
        </is>
      </c>
      <c r="C22" s="1"/>
    </row>
    <row r="23">
      <c r="A23" s="0" t="inlineStr">
        <is>
          <t xml:space="preserve">HP cap</t>
        </is>
      </c>
      <c r="B23" s="2">
        <v>999</v>
      </c>
      <c r="C23" s="3" t="inlineStr">
        <is>
          <t xml:space="preserve">Vanilla monsters stay under 999; Hard Mode raises Brian's caps to 999 too.</t>
        </is>
      </c>
    </row>
    <row r="24">
      <c r="A24" s="0" t="inlineStr">
        <is>
          <t xml:space="preserve">ATK/DEF/AGI cap</t>
        </is>
      </c>
      <c r="B24" s="2">
        <v>255</v>
      </c>
      <c r="C24" s="3" t="inlineStr">
        <is>
          <t xml:space="preserve">Stored as bytes in the game's battle struct.</t>
        </is>
      </c>
    </row>
  </sheetData>
</worksheet>
</file>

<file path=xl/worksheets/sheet3.xml><?xml version="1.0" encoding="utf-8"?>
<worksheet xmlns="http://schemas.openxmlformats.org/spreadsheetml/2006/main">
  <sheetViews>
    <sheetView workbookViewId="0">
      <pane ySplit="3" topLeftCell="A4" activePane="bottomLeft" state="frozen"/>
    </sheetView>
  </sheetViews>
  <cols>
    <col min="1" max="1" width="6" customWidth="1"/>
    <col min="2" max="2" width="18" customWidth="1"/>
    <col min="3" max="3" width="6" customWidth="1"/>
    <col min="4" max="4" width="8" customWidth="1"/>
    <col min="5" max="5" width="8" customWidth="1"/>
    <col min="6" max="6" width="44" customWidth="1"/>
    <col min="7" max="7" width="8" customWidth="1"/>
    <col min="8" max="8" width="8" customWidth="1"/>
    <col min="9" max="9" width="8" customWidth="1"/>
    <col min="10" max="10" width="8" customWidth="1"/>
    <col min="11" max="11" width="8" customWidth="1"/>
    <col min="12" max="12" width="10" customWidth="1"/>
    <col min="13" max="13" width="9" customWidth="1"/>
    <col min="14" max="14" width="9" customWidth="1"/>
    <col min="15" max="15" width="10" customWidth="1"/>
    <col min="16" max="16" width="70" customWidth="1"/>
    <col min="17" max="17" width="30" customWidth="1"/>
  </cols>
  <sheetData>
    <row r="1">
      <c r="A1" s="4" t="inlineStr">
        <is>
          <t xml:space="preserve">Areas: progression order, tier, vanilla roster, averages and progression budget</t>
        </is>
      </c>
    </row>
    <row r="2">
      <c r="A2" s="3" t="inlineStr">
        <is>
          <t xml:space="preserve">Tier (C) is an input. Averages (G-L) are over the area's vanilla roster (Roster tab). Budget (M) = MAX(own average power, previous budget), so it never falls; Guard (N) = budget / own average, the multiplier applied to everything placed here. Allowed tiers (O-P) follow the spread settings. Q counts how many monsters could be placed here under the current settings; E is how many the randomizer must place.</t>
        </is>
      </c>
    </row>
    <row r="3">
      <c r="A3" s="1" t="inlineStr">
        <is>
          <t xml:space="preserve">Rank</t>
        </is>
      </c>
      <c r="B3" s="1" t="inlineStr">
        <is>
          <t xml:space="preserve">Area</t>
        </is>
      </c>
      <c r="C3" s="1" t="inlineStr">
        <is>
          <t xml:space="preserve">Tier</t>
        </is>
      </c>
      <c r="D3" s="1" t="inlineStr">
        <is>
          <t xml:space="preserve">Monster table</t>
        </is>
      </c>
      <c r="E3" s="1" t="inlineStr">
        <is>
          <t xml:space="preserve">Roster size</t>
        </is>
      </c>
      <c r="F3" s="1" t="inlineStr">
        <is>
          <t xml:space="preserve">Vanilla roster</t>
        </is>
      </c>
      <c r="G3" s="1" t="inlineStr">
        <is>
          <t xml:space="preserve">Avg HP</t>
        </is>
      </c>
      <c r="H3" s="1" t="inlineStr">
        <is>
          <t xml:space="preserve">Avg ATK</t>
        </is>
      </c>
      <c r="I3" s="1" t="inlineStr">
        <is>
          <t xml:space="preserve">Avg DEF</t>
        </is>
      </c>
      <c r="J3" s="1" t="inlineStr">
        <is>
          <t xml:space="preserve">Avg AGI</t>
        </is>
      </c>
      <c r="K3" s="1" t="inlineStr">
        <is>
          <t xml:space="preserve">Avg EXP</t>
        </is>
      </c>
      <c r="L3" s="1" t="inlineStr">
        <is>
          <t xml:space="preserve">Avg Power</t>
        </is>
      </c>
      <c r="M3" s="1" t="inlineStr">
        <is>
          <t xml:space="preserve">Progression budget</t>
        </is>
      </c>
      <c r="N3" s="1" t="inlineStr">
        <is>
          <t xml:space="preserve">Guard x</t>
        </is>
      </c>
      <c r="O3" s="1" t="inlineStr">
        <is>
          <t xml:space="preserve">Allowed tier min</t>
        </is>
      </c>
      <c r="P3" s="1" t="inlineStr">
        <is>
          <t xml:space="preserve">Allowed tier max</t>
        </is>
      </c>
      <c r="Q3" s="1" t="inlineStr">
        <is>
          <t xml:space="preserve">Candidate monsters</t>
        </is>
      </c>
      <c r="R3" s="1" t="inlineStr">
        <is>
          <t xml:space="preserve">Packs (vanilla: monster x always + extra)</t>
        </is>
      </c>
      <c r="S3" s="1" t="inlineStr">
        <is>
          <t xml:space="preserve">Notes</t>
        </is>
      </c>
    </row>
    <row r="4">
      <c r="A4" s="0">
        <v>1</v>
      </c>
      <c r="B4" s="0" t="inlineStr">
        <is>
          <t xml:space="preserve">Holy Plains</t>
        </is>
      </c>
      <c r="C4" s="2">
        <v>1</v>
      </c>
      <c r="D4" s="0">
        <v>0</v>
      </c>
      <c r="E4" s="0">
        <v>7</v>
      </c>
      <c r="F4" s="3" t="inlineStr">
        <is>
          <t xml:space="preserve">WERE HARE, HELL HOUND, MAN EATER, BIG MOUTH, BUMBERSHOOT, PARASAULT, ORK JR</t>
        </is>
      </c>
      <c r="G4" s="7">
        <f>AVERAGEIFS(Roster!$D:$D,Roster!$A:$A,$B4)</f>
      </c>
      <c r="H4" s="7">
        <f>AVERAGEIFS(Roster!$E:$E,Roster!$A:$A,$B4)</f>
      </c>
      <c r="I4" s="7">
        <f>AVERAGEIFS(Roster!$F:$F,Roster!$A:$A,$B4)</f>
      </c>
      <c r="J4" s="7">
        <f>AVERAGEIFS(Roster!$G:$G,Roster!$A:$A,$B4)</f>
      </c>
      <c r="K4" s="7">
        <f>AVERAGEIFS(Roster!$H:$H,Roster!$A:$A,$B4)</f>
      </c>
      <c r="L4" s="7">
        <f>AVERAGEIFS(Roster!$I:$I,Roster!$A:$A,$B4)</f>
      </c>
      <c r="M4" s="7">
        <f>L4</f>
      </c>
      <c r="N4" s="7">
        <f>M4/L4</f>
      </c>
      <c r="O4" s="0">
        <f>MAX(1,C4-Settings!$B$4)</f>
      </c>
      <c r="P4" s="0">
        <f>MIN(8,C4+Settings!$B$5)</f>
      </c>
      <c r="Q4" s="0">
        <f>COUNTIFS(Monsters!$Q:$Q,"&lt;="&amp;C4,Monsters!$R:$R,"&gt;="&amp;C4)</f>
      </c>
      <c r="R4" s="3" t="inlineStr">
        <is>
          <t xml:space="preserve">[WERE HARE x1+2] [HELL HOUND x1+1] [BIG MOUTH x1+0] [HELL HOUND x3+1] [MAN EATER x2+1] [PARASAULT x1+0, BUMBERSHOOT x1+0] [BIG MOUTH x1+0, WERE HARE x2+1] [WERE HARE x1+1, MAN EATER x1+0] [ORK JR x1+0]</t>
        </is>
      </c>
      <c r="S4" s="3" t="inlineStr">
        <is>
          <t xml:space="preserve">Melrode / Dondoran start</t>
        </is>
      </c>
    </row>
    <row r="5">
      <c r="A5" s="0">
        <v>2</v>
      </c>
      <c r="B5" s="0" t="inlineStr">
        <is>
          <t xml:space="preserve">Connor Forest</t>
        </is>
      </c>
      <c r="C5" s="2">
        <v>1</v>
      </c>
      <c r="D5" s="0">
        <v>1</v>
      </c>
      <c r="E5" s="0">
        <v>5</v>
      </c>
      <c r="F5" s="3" t="inlineStr">
        <is>
          <t xml:space="preserve">KOBOLD, MAN TRAP, BAT, FROG KNIGHT, MARIONASTY</t>
        </is>
      </c>
      <c r="G5" s="7">
        <f>AVERAGEIFS(Roster!$D:$D,Roster!$A:$A,$B5)</f>
      </c>
      <c r="H5" s="7">
        <f>AVERAGEIFS(Roster!$E:$E,Roster!$A:$A,$B5)</f>
      </c>
      <c r="I5" s="7">
        <f>AVERAGEIFS(Roster!$F:$F,Roster!$A:$A,$B5)</f>
      </c>
      <c r="J5" s="7">
        <f>AVERAGEIFS(Roster!$G:$G,Roster!$A:$A,$B5)</f>
      </c>
      <c r="K5" s="7">
        <f>AVERAGEIFS(Roster!$H:$H,Roster!$A:$A,$B5)</f>
      </c>
      <c r="L5" s="7">
        <f>AVERAGEIFS(Roster!$I:$I,Roster!$A:$A,$B5)</f>
      </c>
      <c r="M5" s="7">
        <f>MAX(L5,M4)</f>
      </c>
      <c r="N5" s="7">
        <f>M5/L5</f>
      </c>
      <c r="O5" s="0">
        <f>MAX(1,C5-Settings!$B$4)</f>
      </c>
      <c r="P5" s="0">
        <f>MIN(8,C5+Settings!$B$5)</f>
      </c>
      <c r="Q5" s="0">
        <f>COUNTIFS(Monsters!$Q:$Q,"&lt;="&amp;C5,Monsters!$R:$R,"&gt;="&amp;C5)</f>
      </c>
      <c r="R5" s="3" t="inlineStr">
        <is>
          <t xml:space="preserve">[KOBOLD x1+2] [MAN TRAP x1+1] [BAT x3+3] [FROG KNIGHT x1+1] [MARIONASTY x1+1] [BAT x1+1, KOBOLD x1+0] [KOBOLD x1+0, MARIONASTY x1+0] [FROG KNIGHT x1+0, KOBOLD x1+0, MARIONASTY x1+0] [MAN TRAP x1+0, BAT x1+1]</t>
        </is>
      </c>
      <c r="S5" s="3" t="inlineStr">
        <is>
          <t xml:space="preserve">Solvaring</t>
        </is>
      </c>
    </row>
    <row r="6">
      <c r="A6" s="0">
        <v>3</v>
      </c>
      <c r="B6" s="0" t="inlineStr">
        <is>
          <t xml:space="preserve">Dondoran Flats</t>
        </is>
      </c>
      <c r="C6" s="2">
        <v>2</v>
      </c>
      <c r="D6" s="0">
        <v>1</v>
      </c>
      <c r="E6" s="0">
        <v>7</v>
      </c>
      <c r="F6" s="3" t="inlineStr">
        <is>
          <t xml:space="preserve">GOBLIN, FROG KING, APOPHIS, MAD DOLL, DEATH HUGGER, FROG KNIGHT, COCKATRICE</t>
        </is>
      </c>
      <c r="G6" s="7">
        <f>AVERAGEIFS(Roster!$D:$D,Roster!$A:$A,$B6)</f>
      </c>
      <c r="H6" s="7">
        <f>AVERAGEIFS(Roster!$E:$E,Roster!$A:$A,$B6)</f>
      </c>
      <c r="I6" s="7">
        <f>AVERAGEIFS(Roster!$F:$F,Roster!$A:$A,$B6)</f>
      </c>
      <c r="J6" s="7">
        <f>AVERAGEIFS(Roster!$G:$G,Roster!$A:$A,$B6)</f>
      </c>
      <c r="K6" s="7">
        <f>AVERAGEIFS(Roster!$H:$H,Roster!$A:$A,$B6)</f>
      </c>
      <c r="L6" s="7">
        <f>AVERAGEIFS(Roster!$I:$I,Roster!$A:$A,$B6)</f>
      </c>
      <c r="M6" s="7">
        <f>MAX(L6,M5)</f>
      </c>
      <c r="N6" s="7">
        <f>M6/L6</f>
      </c>
      <c r="O6" s="0">
        <f>MAX(1,C6-Settings!$B$4)</f>
      </c>
      <c r="P6" s="0">
        <f>MIN(8,C6+Settings!$B$5)</f>
      </c>
      <c r="Q6" s="0">
        <f>COUNTIFS(Monsters!$Q:$Q,"&lt;="&amp;C6,Monsters!$R:$R,"&gt;="&amp;C6)</f>
      </c>
      <c r="R6" s="3" t="inlineStr">
        <is>
          <t xml:space="preserve">[APOPHIS x1+1] [DEATH HUGGER x3+2] [MAD DOLL x1+1] [MAD DOLL x1+0, DEATH HUGGER x2+1] [GOBLIN x2+2] [GOBLIN x2+0, DEATH HUGGER x3+0] [FROG KING x1+0] [FROG KING x1+0, FROG KNIGHT x2+0] [GOBLIN x2+1, FROG KNIGHT x1+0] [COCKATRICE x1+1]</t>
        </is>
      </c>
      <c r="S6" s="3"/>
    </row>
    <row r="7">
      <c r="A7" s="0">
        <v>4</v>
      </c>
      <c r="B7" s="0" t="inlineStr">
        <is>
          <t xml:space="preserve">Glencoe Forest</t>
        </is>
      </c>
      <c r="C7" s="2">
        <v>2</v>
      </c>
      <c r="D7" s="0">
        <v>1</v>
      </c>
      <c r="E7" s="0">
        <v>4</v>
      </c>
      <c r="F7" s="3" t="inlineStr">
        <is>
          <t xml:space="preserve">DARK GOBLIN, HOT LIPS, GHOST STALKER, TREANT</t>
        </is>
      </c>
      <c r="G7" s="7">
        <f>AVERAGEIFS(Roster!$D:$D,Roster!$A:$A,$B7)</f>
      </c>
      <c r="H7" s="7">
        <f>AVERAGEIFS(Roster!$E:$E,Roster!$A:$A,$B7)</f>
      </c>
      <c r="I7" s="7">
        <f>AVERAGEIFS(Roster!$F:$F,Roster!$A:$A,$B7)</f>
      </c>
      <c r="J7" s="7">
        <f>AVERAGEIFS(Roster!$G:$G,Roster!$A:$A,$B7)</f>
      </c>
      <c r="K7" s="7">
        <f>AVERAGEIFS(Roster!$H:$H,Roster!$A:$A,$B7)</f>
      </c>
      <c r="L7" s="7">
        <f>AVERAGEIFS(Roster!$I:$I,Roster!$A:$A,$B7)</f>
      </c>
      <c r="M7" s="7">
        <f>MAX(L7,M6)</f>
      </c>
      <c r="N7" s="7">
        <f>M7/L7</f>
      </c>
      <c r="O7" s="0">
        <f>MAX(1,C7-Settings!$B$4)</f>
      </c>
      <c r="P7" s="0">
        <f>MIN(8,C7+Settings!$B$5)</f>
      </c>
      <c r="Q7" s="0">
        <f>COUNTIFS(Monsters!$Q:$Q,"&lt;="&amp;C7,Monsters!$R:$R,"&gt;="&amp;C7)</f>
      </c>
      <c r="R7" s="3" t="inlineStr">
        <is>
          <t xml:space="preserve">[DARK GOBLIN x2+4] [HOT LIPS x1+1] [GHOST STALKER x2+2] [TREANT x1+1] [TREANT x1+0, GHOST STALKER x1+2] [DARK GOBLIN x2+1, GHOST STALKER x1+1]</t>
        </is>
      </c>
      <c r="S7" s="3"/>
    </row>
    <row r="8">
      <c r="A8" s="0">
        <v>5</v>
      </c>
      <c r="B8" s="0" t="inlineStr">
        <is>
          <t xml:space="preserve">West Carmaugh</t>
        </is>
      </c>
      <c r="C8" s="2">
        <v>2</v>
      </c>
      <c r="D8" s="0">
        <v>0</v>
      </c>
      <c r="E8" s="0">
        <v>7</v>
      </c>
      <c r="F8" s="3" t="inlineStr">
        <is>
          <t xml:space="preserve">WERE HARE, ORK JR, GREMLIN, SKELETON, GHOSTHOUND, MERROW, WOLF GOAT</t>
        </is>
      </c>
      <c r="G8" s="7">
        <f>AVERAGEIFS(Roster!$D:$D,Roster!$A:$A,$B8)</f>
      </c>
      <c r="H8" s="7">
        <f>AVERAGEIFS(Roster!$E:$E,Roster!$A:$A,$B8)</f>
      </c>
      <c r="I8" s="7">
        <f>AVERAGEIFS(Roster!$F:$F,Roster!$A:$A,$B8)</f>
      </c>
      <c r="J8" s="7">
        <f>AVERAGEIFS(Roster!$G:$G,Roster!$A:$A,$B8)</f>
      </c>
      <c r="K8" s="7">
        <f>AVERAGEIFS(Roster!$H:$H,Roster!$A:$A,$B8)</f>
      </c>
      <c r="L8" s="7">
        <f>AVERAGEIFS(Roster!$I:$I,Roster!$A:$A,$B8)</f>
      </c>
      <c r="M8" s="7">
        <f>MAX(L8,M7)</f>
      </c>
      <c r="N8" s="7">
        <f>M8/L8</f>
      </c>
      <c r="O8" s="0">
        <f>MAX(1,C8-Settings!$B$4)</f>
      </c>
      <c r="P8" s="0">
        <f>MIN(8,C8+Settings!$B$5)</f>
      </c>
      <c r="Q8" s="0">
        <f>COUNTIFS(Monsters!$Q:$Q,"&lt;="&amp;C8,Monsters!$R:$R,"&gt;="&amp;C8)</f>
      </c>
      <c r="R8" s="3" t="inlineStr">
        <is>
          <t xml:space="preserve">[WERE HARE x3+2] [ORK JR x1+2] [GREMLIN x2+2] [SKELETON x1+2] [GHOSTHOUND x1+2] [MERROW x2+2] [WOLF GOAT x1+2] [WERE HARE x2+1, ORK JR x1+1] [GREMLIN x1+1, ORK JR x1+2] [WOLF GOAT x1+0, ORK JR x1+1] [WOLF GOAT x1+0, GHOSTHOUND x1+1] [WERE HARE x1+0, MERROW x1+0, ORK JR x1+0] [GHOSTHOUND x1+1, SKELETON x1+1]</t>
        </is>
      </c>
      <c r="S8" s="3" t="inlineStr">
        <is>
          <t xml:space="preserve">after Larapool</t>
        </is>
      </c>
    </row>
    <row r="9">
      <c r="A9" s="0">
        <v>6</v>
      </c>
      <c r="B9" s="0" t="inlineStr">
        <is>
          <t xml:space="preserve">Cull Hazard</t>
        </is>
      </c>
      <c r="C9" s="2">
        <v>3</v>
      </c>
      <c r="D9" s="0">
        <v>2</v>
      </c>
      <c r="E9" s="0">
        <v>5</v>
      </c>
      <c r="F9" s="3" t="inlineStr">
        <is>
          <t xml:space="preserve">MIMIC, SCARE CROW, WYVERN, SKELEBAT, BLOOD JELL</t>
        </is>
      </c>
      <c r="G9" s="7">
        <f>AVERAGEIFS(Roster!$D:$D,Roster!$A:$A,$B9)</f>
      </c>
      <c r="H9" s="7">
        <f>AVERAGEIFS(Roster!$E:$E,Roster!$A:$A,$B9)</f>
      </c>
      <c r="I9" s="7">
        <f>AVERAGEIFS(Roster!$F:$F,Roster!$A:$A,$B9)</f>
      </c>
      <c r="J9" s="7">
        <f>AVERAGEIFS(Roster!$G:$G,Roster!$A:$A,$B9)</f>
      </c>
      <c r="K9" s="7">
        <f>AVERAGEIFS(Roster!$H:$H,Roster!$A:$A,$B9)</f>
      </c>
      <c r="L9" s="7">
        <f>AVERAGEIFS(Roster!$I:$I,Roster!$A:$A,$B9)</f>
      </c>
      <c r="M9" s="7">
        <f>MAX(L9,M8)</f>
      </c>
      <c r="N9" s="7">
        <f>M9/L9</f>
      </c>
      <c r="O9" s="0">
        <f>MAX(1,C9-Settings!$B$4)</f>
      </c>
      <c r="P9" s="0">
        <f>MIN(8,C9+Settings!$B$5)</f>
      </c>
      <c r="Q9" s="0">
        <f>COUNTIFS(Monsters!$Q:$Q,"&lt;="&amp;C9,Monsters!$R:$R,"&gt;="&amp;C9)</f>
      </c>
      <c r="R9" s="3" t="inlineStr">
        <is>
          <t xml:space="preserve">[BLOOD JELL x2+2] [MIMIC x1+0] [SCARE CROW x1+1] [WYVERN x1+0] [SKELEBAT x1+1] [BLOOD JELL x1+1, SCARE CROW x1+1] [WYVERN x1+0, SKELEBAT x2+0] [BLOOD JELL x1+1, SKELEBAT x1+1, SCARE CROW x1+0]</t>
        </is>
      </c>
      <c r="S9" s="3"/>
    </row>
    <row r="10">
      <c r="A10" s="0">
        <v>7</v>
      </c>
      <c r="B10" s="0" t="inlineStr">
        <is>
          <t xml:space="preserve">East Limelin</t>
        </is>
      </c>
      <c r="C10" s="2">
        <v>3</v>
      </c>
      <c r="D10" s="0">
        <v>2</v>
      </c>
      <c r="E10" s="0">
        <v>6</v>
      </c>
      <c r="F10" s="3" t="inlineStr">
        <is>
          <t xml:space="preserve">SCARE CROW, WYVERN, CRYSHELL, BLOOD JELL, CATERPILLAR, FISH MAN</t>
        </is>
      </c>
      <c r="G10" s="7">
        <f>AVERAGEIFS(Roster!$D:$D,Roster!$A:$A,$B10)</f>
      </c>
      <c r="H10" s="7">
        <f>AVERAGEIFS(Roster!$E:$E,Roster!$A:$A,$B10)</f>
      </c>
      <c r="I10" s="7">
        <f>AVERAGEIFS(Roster!$F:$F,Roster!$A:$A,$B10)</f>
      </c>
      <c r="J10" s="7">
        <f>AVERAGEIFS(Roster!$G:$G,Roster!$A:$A,$B10)</f>
      </c>
      <c r="K10" s="7">
        <f>AVERAGEIFS(Roster!$H:$H,Roster!$A:$A,$B10)</f>
      </c>
      <c r="L10" s="7">
        <f>AVERAGEIFS(Roster!$I:$I,Roster!$A:$A,$B10)</f>
      </c>
      <c r="M10" s="7">
        <f>MAX(L10,M9)</f>
      </c>
      <c r="N10" s="7">
        <f>M10/L10</f>
      </c>
      <c r="O10" s="0">
        <f>MAX(1,C10-Settings!$B$4)</f>
      </c>
      <c r="P10" s="0">
        <f>MIN(8,C10+Settings!$B$5)</f>
      </c>
      <c r="Q10" s="0">
        <f>COUNTIFS(Monsters!$Q:$Q,"&lt;="&amp;C10,Monsters!$R:$R,"&gt;="&amp;C10)</f>
      </c>
      <c r="R10" s="3" t="inlineStr">
        <is>
          <t xml:space="preserve">[CRYSHELL x1+2] [BLOOD JELL x2+4] [CATERPILLAR x2+3] [FISH MAN x1+3] [SCARE CROW x1+2] [WYVERN x1+1] [SCARE CROW x1+0, BLOOD JELL x1+1] [WYVERN x1+0, BLOOD JELL x1+1] [CRYSHELL x1+0, WYVERN x1+0] [FISH MAN x2+0, CRYSHELL x1+0] [FISH MAN x1+1, CRYSHELL x1+0, SCARE CROW x1+0]</t>
        </is>
      </c>
      <c r="S10" s="3" t="inlineStr">
        <is>
          <t xml:space="preserve">Normoon side; by vanilla numbers it is tougher than the T4 areas, the progression guard covers this</t>
        </is>
      </c>
    </row>
    <row r="11">
      <c r="A11" s="0">
        <v>8</v>
      </c>
      <c r="B11" s="0" t="inlineStr">
        <is>
          <t xml:space="preserve">Windward Forest</t>
        </is>
      </c>
      <c r="C11" s="2">
        <v>4</v>
      </c>
      <c r="D11" s="0">
        <v>4</v>
      </c>
      <c r="E11" s="0">
        <v>7</v>
      </c>
      <c r="F11" s="3" t="inlineStr">
        <is>
          <t xml:space="preserve">ORK, JACK-O'-LANTERN, ARACHNOID, LAMIA, TEMPTRESS, THUNDER JELL, TERMANT</t>
        </is>
      </c>
      <c r="G11" s="7">
        <f>AVERAGEIFS(Roster!$D:$D,Roster!$A:$A,$B11)</f>
      </c>
      <c r="H11" s="7">
        <f>AVERAGEIFS(Roster!$E:$E,Roster!$A:$A,$B11)</f>
      </c>
      <c r="I11" s="7">
        <f>AVERAGEIFS(Roster!$F:$F,Roster!$A:$A,$B11)</f>
      </c>
      <c r="J11" s="7">
        <f>AVERAGEIFS(Roster!$G:$G,Roster!$A:$A,$B11)</f>
      </c>
      <c r="K11" s="7">
        <f>AVERAGEIFS(Roster!$H:$H,Roster!$A:$A,$B11)</f>
      </c>
      <c r="L11" s="7">
        <f>AVERAGEIFS(Roster!$I:$I,Roster!$A:$A,$B11)</f>
      </c>
      <c r="M11" s="7">
        <f>MAX(L11,M10)</f>
      </c>
      <c r="N11" s="7">
        <f>M11/L11</f>
      </c>
      <c r="O11" s="0">
        <f>MAX(1,C11-Settings!$B$4)</f>
      </c>
      <c r="P11" s="0">
        <f>MIN(8,C11+Settings!$B$5)</f>
      </c>
      <c r="Q11" s="0">
        <f>COUNTIFS(Monsters!$Q:$Q,"&lt;="&amp;C11,Monsters!$R:$R,"&gt;="&amp;C11)</f>
      </c>
      <c r="R11" s="3" t="inlineStr">
        <is>
          <t xml:space="preserve">[JACK-O'-LANTERN x1+3] [ARACHNOID x2+3] [LAMIA x1+1] [TEMPTRESS x2+2] [THUNDER JELL x3+3] [TERMANT x3+3] [TERMANT x2+1, ARACHNOID x1+2] [JACK-O'-LANTERN x1+1, TEMPTRESS x2+1] [THUNDER JELL x1+0, TERMANT x1+1, ARACHNOID x1+0, TEMPTRESS x1+0] [ORK x1+1] [ORK x1+0, JACK-O'-LANTERN x1+0]</t>
        </is>
      </c>
      <c r="S11" s="3" t="inlineStr">
        <is>
          <t xml:space="preserve">Zelse</t>
        </is>
      </c>
    </row>
    <row r="12">
      <c r="A12" s="0">
        <v>9</v>
      </c>
      <c r="B12" s="0" t="inlineStr">
        <is>
          <t xml:space="preserve">Blue Cave</t>
        </is>
      </c>
      <c r="C12" s="2">
        <v>4</v>
      </c>
      <c r="D12" s="0">
        <v>2</v>
      </c>
      <c r="E12" s="0">
        <v>7</v>
      </c>
      <c r="F12" s="3" t="inlineStr">
        <is>
          <t xml:space="preserve">MULTI OPTICS, MIMIC, CRAWLER, SCORPION, SCARE CROW, SKELEBAT, BLOOD JELL</t>
        </is>
      </c>
      <c r="G12" s="7">
        <f>AVERAGEIFS(Roster!$D:$D,Roster!$A:$A,$B12)</f>
      </c>
      <c r="H12" s="7">
        <f>AVERAGEIFS(Roster!$E:$E,Roster!$A:$A,$B12)</f>
      </c>
      <c r="I12" s="7">
        <f>AVERAGEIFS(Roster!$F:$F,Roster!$A:$A,$B12)</f>
      </c>
      <c r="J12" s="7">
        <f>AVERAGEIFS(Roster!$G:$G,Roster!$A:$A,$B12)</f>
      </c>
      <c r="K12" s="7">
        <f>AVERAGEIFS(Roster!$H:$H,Roster!$A:$A,$B12)</f>
      </c>
      <c r="L12" s="7">
        <f>AVERAGEIFS(Roster!$I:$I,Roster!$A:$A,$B12)</f>
      </c>
      <c r="M12" s="7">
        <f>MAX(L12,M11)</f>
      </c>
      <c r="N12" s="7">
        <f>M12/L12</f>
      </c>
      <c r="O12" s="0">
        <f>MAX(1,C12-Settings!$B$4)</f>
      </c>
      <c r="P12" s="0">
        <f>MIN(8,C12+Settings!$B$5)</f>
      </c>
      <c r="Q12" s="0">
        <f>COUNTIFS(Monsters!$Q:$Q,"&lt;="&amp;C12,Monsters!$R:$R,"&gt;="&amp;C12)</f>
      </c>
      <c r="R12" s="3" t="inlineStr">
        <is>
          <t xml:space="preserve">[MULTI OPTICS x2+2] [MIMIC x1+0] [CRAWLER x2+2] [SCORPION x2+2] [SKELEBAT x2+2] [BLOOD JELL x1+2] [CRAWLER x1+1, SCORPION x2+1] [MULTI OPTICS x1+1, CRAWLER x1+1] [MULTI OPTICS x2+1, BLOOD JELL x1+0] [SCARE CROW x1+0]</t>
        </is>
      </c>
      <c r="S12" s="3" t="inlineStr">
        <is>
          <t xml:space="preserve">Nepty</t>
        </is>
      </c>
    </row>
    <row r="13">
      <c r="A13" s="0">
        <v>10</v>
      </c>
      <c r="B13" s="0" t="inlineStr">
        <is>
          <t xml:space="preserve">Isle of Skye</t>
        </is>
      </c>
      <c r="C13" s="2">
        <v>4</v>
      </c>
      <c r="D13" s="0">
        <v>4</v>
      </c>
      <c r="E13" s="0">
        <v>4</v>
      </c>
      <c r="F13" s="3" t="inlineStr">
        <is>
          <t xml:space="preserve">PIXIE, GRANGACH, THUNDER JELL, TERMANT</t>
        </is>
      </c>
      <c r="G13" s="7">
        <f>AVERAGEIFS(Roster!$D:$D,Roster!$A:$A,$B13)</f>
      </c>
      <c r="H13" s="7">
        <f>AVERAGEIFS(Roster!$E:$E,Roster!$A:$A,$B13)</f>
      </c>
      <c r="I13" s="7">
        <f>AVERAGEIFS(Roster!$F:$F,Roster!$A:$A,$B13)</f>
      </c>
      <c r="J13" s="7">
        <f>AVERAGEIFS(Roster!$G:$G,Roster!$A:$A,$B13)</f>
      </c>
      <c r="K13" s="7">
        <f>AVERAGEIFS(Roster!$H:$H,Roster!$A:$A,$B13)</f>
      </c>
      <c r="L13" s="7">
        <f>AVERAGEIFS(Roster!$I:$I,Roster!$A:$A,$B13)</f>
      </c>
      <c r="M13" s="7">
        <f>MAX(L13,M12)</f>
      </c>
      <c r="N13" s="7">
        <f>M13/L13</f>
      </c>
      <c r="O13" s="0">
        <f>MAX(1,C13-Settings!$B$4)</f>
      </c>
      <c r="P13" s="0">
        <f>MIN(8,C13+Settings!$B$5)</f>
      </c>
      <c r="Q13" s="0">
        <f>COUNTIFS(Monsters!$Q:$Q,"&lt;="&amp;C13,Monsters!$R:$R,"&gt;="&amp;C13)</f>
      </c>
      <c r="R13" s="3" t="inlineStr">
        <is>
          <t xml:space="preserve">[GRANGACH x1+2] [PIXIE x1+2] [THUNDER JELL x2+1] [TERMANT x2+1] [THUNDER JELL x1+0, GRANGACH x1+0, TERMANT x1+0] [PIXIE x1+0, THUNDER JELL x1+0, TERMANT x1+1]</t>
        </is>
      </c>
      <c r="S13" s="3"/>
    </row>
    <row r="14">
      <c r="A14" s="0">
        <v>11</v>
      </c>
      <c r="B14" s="0" t="inlineStr">
        <is>
          <t xml:space="preserve">Baragoon Tunnel</t>
        </is>
      </c>
      <c r="C14" s="2">
        <v>5</v>
      </c>
      <c r="D14" s="0">
        <v>4</v>
      </c>
      <c r="E14" s="0">
        <v>4</v>
      </c>
      <c r="F14" s="3" t="inlineStr">
        <is>
          <t xml:space="preserve">GHOST, WILL-O'-WISP, SPRITE, TERMANT</t>
        </is>
      </c>
      <c r="G14" s="7">
        <f>AVERAGEIFS(Roster!$D:$D,Roster!$A:$A,$B14)</f>
      </c>
      <c r="H14" s="7">
        <f>AVERAGEIFS(Roster!$E:$E,Roster!$A:$A,$B14)</f>
      </c>
      <c r="I14" s="7">
        <f>AVERAGEIFS(Roster!$F:$F,Roster!$A:$A,$B14)</f>
      </c>
      <c r="J14" s="7">
        <f>AVERAGEIFS(Roster!$G:$G,Roster!$A:$A,$B14)</f>
      </c>
      <c r="K14" s="7">
        <f>AVERAGEIFS(Roster!$H:$H,Roster!$A:$A,$B14)</f>
      </c>
      <c r="L14" s="7">
        <f>AVERAGEIFS(Roster!$I:$I,Roster!$A:$A,$B14)</f>
      </c>
      <c r="M14" s="7">
        <f>MAX(L14,M13)</f>
      </c>
      <c r="N14" s="7">
        <f>M14/L14</f>
      </c>
      <c r="O14" s="0">
        <f>MAX(1,C14-Settings!$B$4)</f>
      </c>
      <c r="P14" s="0">
        <f>MIN(8,C14+Settings!$B$5)</f>
      </c>
      <c r="Q14" s="0">
        <f>COUNTIFS(Monsters!$Q:$Q,"&lt;="&amp;C14,Monsters!$R:$R,"&gt;="&amp;C14)</f>
      </c>
      <c r="R14" s="3" t="inlineStr">
        <is>
          <t xml:space="preserve">[TERMANT x1+2] [GHOST x1+2] [SPRITE x2+1] [WILL-O'-WISP x1+2] [GHOST x1+0, WILL-O'-WISP x1+2] [SPRITE x1+1, WILL-O'-WISP x1+1] [TERMANT x1+1, GHOST x1+0] [WILL-O'-WISP x1+1, SPRITE x1+1]</t>
        </is>
      </c>
      <c r="S14" s="3"/>
    </row>
    <row r="15">
      <c r="A15" s="0">
        <v>12</v>
      </c>
      <c r="B15" s="0" t="inlineStr">
        <is>
          <t xml:space="preserve">Dindom Dries</t>
        </is>
      </c>
      <c r="C15" s="2">
        <v>6</v>
      </c>
      <c r="D15" s="0">
        <v>3</v>
      </c>
      <c r="E15" s="0">
        <v>5</v>
      </c>
      <c r="F15" s="3" t="inlineStr">
        <is>
          <t xml:space="preserve">SANDMAN, WERE CAT, NIGHTMARE, BLUE MAN, MAGMA FISH</t>
        </is>
      </c>
      <c r="G15" s="7">
        <f>AVERAGEIFS(Roster!$D:$D,Roster!$A:$A,$B15)</f>
      </c>
      <c r="H15" s="7">
        <f>AVERAGEIFS(Roster!$E:$E,Roster!$A:$A,$B15)</f>
      </c>
      <c r="I15" s="7">
        <f>AVERAGEIFS(Roster!$F:$F,Roster!$A:$A,$B15)</f>
      </c>
      <c r="J15" s="7">
        <f>AVERAGEIFS(Roster!$G:$G,Roster!$A:$A,$B15)</f>
      </c>
      <c r="K15" s="7">
        <f>AVERAGEIFS(Roster!$H:$H,Roster!$A:$A,$B15)</f>
      </c>
      <c r="L15" s="7">
        <f>AVERAGEIFS(Roster!$I:$I,Roster!$A:$A,$B15)</f>
      </c>
      <c r="M15" s="7">
        <f>MAX(L15,M14)</f>
      </c>
      <c r="N15" s="7">
        <f>M15/L15</f>
      </c>
      <c r="O15" s="0">
        <f>MAX(1,C15-Settings!$B$4)</f>
      </c>
      <c r="P15" s="0">
        <f>MIN(8,C15+Settings!$B$5)</f>
      </c>
      <c r="Q15" s="0">
        <f>COUNTIFS(Monsters!$Q:$Q,"&lt;="&amp;C15,Monsters!$R:$R,"&gt;="&amp;C15)</f>
      </c>
      <c r="R15" s="3" t="inlineStr">
        <is>
          <t xml:space="preserve">[SANDMAN x2+1] [BLUE MAN x1+1] [BLUE MAN x3+1] [MAGMA FISH x2+3] [WERE CAT x1+2] [NIGHTMARE x1+4] [WERE CAT x1+1, NIGHTMARE x1+2] [SANDMAN x1+0, BLUE MAN x1+2] [NIGHTMARE x1+2, BLUE MAN x1+2] [BLUE MAN x1+0, MAGMA FISH x1+0] [MAGMA FISH x1+1, NIGHTMARE x1+1]</t>
        </is>
      </c>
      <c r="S15" s="3" t="inlineStr">
        <is>
          <t xml:space="preserve">Shamwood side</t>
        </is>
      </c>
    </row>
    <row r="16">
      <c r="A16" s="0">
        <v>13</v>
      </c>
      <c r="B16" s="0" t="inlineStr">
        <is>
          <t xml:space="preserve">Boil Hole</t>
        </is>
      </c>
      <c r="C16" s="2">
        <v>6</v>
      </c>
      <c r="D16" s="0">
        <v>3</v>
      </c>
      <c r="E16" s="0">
        <v>5</v>
      </c>
      <c r="F16" s="3" t="inlineStr">
        <is>
          <t xml:space="preserve">NIGHTMARE, ROCKY, RED WYVERN, FLAMED MANE, MAGMA FISH</t>
        </is>
      </c>
      <c r="G16" s="7">
        <f>AVERAGEIFS(Roster!$D:$D,Roster!$A:$A,$B16)</f>
      </c>
      <c r="H16" s="7">
        <f>AVERAGEIFS(Roster!$E:$E,Roster!$A:$A,$B16)</f>
      </c>
      <c r="I16" s="7">
        <f>AVERAGEIFS(Roster!$F:$F,Roster!$A:$A,$B16)</f>
      </c>
      <c r="J16" s="7">
        <f>AVERAGEIFS(Roster!$G:$G,Roster!$A:$A,$B16)</f>
      </c>
      <c r="K16" s="7">
        <f>AVERAGEIFS(Roster!$H:$H,Roster!$A:$A,$B16)</f>
      </c>
      <c r="L16" s="7">
        <f>AVERAGEIFS(Roster!$I:$I,Roster!$A:$A,$B16)</f>
      </c>
      <c r="M16" s="7">
        <f>MAX(L16,M15)</f>
      </c>
      <c r="N16" s="7">
        <f>M16/L16</f>
      </c>
      <c r="O16" s="0">
        <f>MAX(1,C16-Settings!$B$4)</f>
      </c>
      <c r="P16" s="0">
        <f>MIN(8,C16+Settings!$B$5)</f>
      </c>
      <c r="Q16" s="0">
        <f>COUNTIFS(Monsters!$Q:$Q,"&lt;="&amp;C16,Monsters!$R:$R,"&gt;="&amp;C16)</f>
      </c>
      <c r="R16" s="3" t="inlineStr">
        <is>
          <t xml:space="preserve">[NIGHTMARE x2+2] [ROCKY x1+1] [RED WYVERN x1+0] [FLAMED MANE x1+0] [MAGMA FISH x2+2] [NIGHTMARE x1+1, MAGMA FISH x1+1] [RED WYVERN x1+0, MAGMA FISH x1+1] [FLAMED MANE x1+0, MAGMA FISH x1+1] [ROCKY x1+1, FLAMED MANE x1+0]</t>
        </is>
      </c>
      <c r="S16" s="3" t="inlineStr">
        <is>
          <t xml:space="preserve">Fargo</t>
        </is>
      </c>
    </row>
    <row r="17">
      <c r="A17" s="0">
        <v>14</v>
      </c>
      <c r="B17" s="0" t="inlineStr">
        <is>
          <t xml:space="preserve">Baragoon Moor</t>
        </is>
      </c>
      <c r="C17" s="2">
        <v>7</v>
      </c>
      <c r="D17" s="0">
        <v>3</v>
      </c>
      <c r="E17" s="0">
        <v>7</v>
      </c>
      <c r="F17" s="3" t="inlineStr">
        <is>
          <t xml:space="preserve">WINGED SUNFISH, GLOOM WING, OGRE, ROCKY, RED WYVERN, RED ROSE KNIGHT, WHITE ROSE KNIGHT</t>
        </is>
      </c>
      <c r="G17" s="7">
        <f>AVERAGEIFS(Roster!$D:$D,Roster!$A:$A,$B17)</f>
      </c>
      <c r="H17" s="7">
        <f>AVERAGEIFS(Roster!$E:$E,Roster!$A:$A,$B17)</f>
      </c>
      <c r="I17" s="7">
        <f>AVERAGEIFS(Roster!$F:$F,Roster!$A:$A,$B17)</f>
      </c>
      <c r="J17" s="7">
        <f>AVERAGEIFS(Roster!$G:$G,Roster!$A:$A,$B17)</f>
      </c>
      <c r="K17" s="7">
        <f>AVERAGEIFS(Roster!$H:$H,Roster!$A:$A,$B17)</f>
      </c>
      <c r="L17" s="7">
        <f>AVERAGEIFS(Roster!$I:$I,Roster!$A:$A,$B17)</f>
      </c>
      <c r="M17" s="7">
        <f>MAX(L17,M16)</f>
      </c>
      <c r="N17" s="7">
        <f>M17/L17</f>
      </c>
      <c r="O17" s="0">
        <f>MAX(1,C17-Settings!$B$4)</f>
      </c>
      <c r="P17" s="0">
        <f>MIN(8,C17+Settings!$B$5)</f>
      </c>
      <c r="Q17" s="0">
        <f>COUNTIFS(Monsters!$Q:$Q,"&lt;="&amp;C17,Monsters!$R:$R,"&gt;="&amp;C17)</f>
      </c>
      <c r="R17" s="3" t="inlineStr">
        <is>
          <t xml:space="preserve">[GLOOM WING x2+2] [OGRE x1+0] [ROCKY x2+2] [RED WYVERN x1+0] [RED ROSE KNIGHT x2+1] [WHITE ROSE KNIGHT x2+1] [OGRE x1+0, GLOOM WING x1+1] [RED ROSE KNIGHT x1+1, WHITE ROSE KNIGHT x1+1] [WINGED SUNFISH x2+1, GLOOM WING x1+1] [OGRE x1+0, ROCKY x1+1]</t>
        </is>
      </c>
      <c r="S17" s="3" t="inlineStr">
        <is>
          <t xml:space="preserve">Shilf; submaps 1-2 share one roster</t>
        </is>
      </c>
    </row>
    <row r="18">
      <c r="A18" s="0">
        <v>15</v>
      </c>
      <c r="B18" s="0" t="inlineStr">
        <is>
          <t xml:space="preserve">Brannoch Castle</t>
        </is>
      </c>
      <c r="C18" s="2">
        <v>7</v>
      </c>
      <c r="D18" s="0">
        <v>3</v>
      </c>
      <c r="E18" s="0">
        <v>2</v>
      </c>
      <c r="F18" s="3" t="inlineStr">
        <is>
          <t xml:space="preserve">RED ROSE KNIGHT, WHITE ROSE KNIGHT</t>
        </is>
      </c>
      <c r="G18" s="7">
        <f>AVERAGEIFS(Roster!$D:$D,Roster!$A:$A,$B18)</f>
      </c>
      <c r="H18" s="7">
        <f>AVERAGEIFS(Roster!$E:$E,Roster!$A:$A,$B18)</f>
      </c>
      <c r="I18" s="7">
        <f>AVERAGEIFS(Roster!$F:$F,Roster!$A:$A,$B18)</f>
      </c>
      <c r="J18" s="7">
        <f>AVERAGEIFS(Roster!$G:$G,Roster!$A:$A,$B18)</f>
      </c>
      <c r="K18" s="7">
        <f>AVERAGEIFS(Roster!$H:$H,Roster!$A:$A,$B18)</f>
      </c>
      <c r="L18" s="7">
        <f>AVERAGEIFS(Roster!$I:$I,Roster!$A:$A,$B18)</f>
      </c>
      <c r="M18" s="7">
        <f>MAX(L18,M17)</f>
      </c>
      <c r="N18" s="7">
        <f>M18/L18</f>
      </c>
      <c r="O18" s="0">
        <f>MAX(1,C18-Settings!$B$4)</f>
      </c>
      <c r="P18" s="0">
        <f>MIN(8,C18+Settings!$B$5)</f>
      </c>
      <c r="Q18" s="0">
        <f>COUNTIFS(Monsters!$Q:$Q,"&lt;="&amp;C18,Monsters!$R:$R,"&gt;="&amp;C18)</f>
      </c>
      <c r="R18" s="3" t="inlineStr">
        <is>
          <t xml:space="preserve">[RED ROSE KNIGHT x1+2] [WHITE ROSE KNIGHT x1+2] [RED ROSE KNIGHT x1+0, WHITE ROSE KNIGHT x1+1]</t>
        </is>
      </c>
      <c r="S18" s="3" t="inlineStr">
        <is>
          <t xml:space="preserve">Guilty, Beigis; submaps 1-6 share one roster</t>
        </is>
      </c>
    </row>
    <row r="19">
      <c r="A19" s="0">
        <v>16</v>
      </c>
      <c r="B19" s="0" t="inlineStr">
        <is>
          <t xml:space="preserve">Mammon's World</t>
        </is>
      </c>
      <c r="C19" s="2">
        <v>8</v>
      </c>
      <c r="D19" s="0">
        <v>5</v>
      </c>
      <c r="E19" s="0">
        <v>4</v>
      </c>
      <c r="F19" s="3" t="inlineStr">
        <is>
          <t xml:space="preserve">JUDGMENT, PALE RIDER, PIN HEAD, SPRIGGAN</t>
        </is>
      </c>
      <c r="G19" s="7">
        <f>AVERAGEIFS(Roster!$D:$D,Roster!$A:$A,$B19)</f>
      </c>
      <c r="H19" s="7">
        <f>AVERAGEIFS(Roster!$E:$E,Roster!$A:$A,$B19)</f>
      </c>
      <c r="I19" s="7">
        <f>AVERAGEIFS(Roster!$F:$F,Roster!$A:$A,$B19)</f>
      </c>
      <c r="J19" s="7">
        <f>AVERAGEIFS(Roster!$G:$G,Roster!$A:$A,$B19)</f>
      </c>
      <c r="K19" s="7">
        <f>AVERAGEIFS(Roster!$H:$H,Roster!$A:$A,$B19)</f>
      </c>
      <c r="L19" s="7">
        <f>AVERAGEIFS(Roster!$I:$I,Roster!$A:$A,$B19)</f>
      </c>
      <c r="M19" s="7">
        <f>MAX(L19,M18)</f>
      </c>
      <c r="N19" s="7">
        <f>M19/L19</f>
      </c>
      <c r="O19" s="0">
        <f>MAX(1,C19-Settings!$B$4)</f>
      </c>
      <c r="P19" s="0">
        <f>MIN(8,C19+Settings!$B$5)</f>
      </c>
      <c r="Q19" s="0">
        <f>COUNTIFS(Monsters!$Q:$Q,"&lt;="&amp;C19,Monsters!$R:$R,"&gt;="&amp;C19)</f>
      </c>
      <c r="R19" s="3" t="inlineStr">
        <is>
          <t xml:space="preserve">[JUDGMENT x2+1] [PALE RIDER x2+1] [PIN HEAD x1+3] [SPRIGGAN x1+1] [JUDGMENT x1+0, PIN HEAD x1+1]</t>
        </is>
      </c>
      <c r="S19" s="3" t="inlineStr">
        <is>
          <t xml:space="preserve">submaps 1-6 share one roster</t>
        </is>
      </c>
    </row>
  </sheetData>
</worksheet>
</file>

<file path=xl/worksheets/sheet4.xml><?xml version="1.0" encoding="utf-8"?>
<worksheet xmlns="http://schemas.openxmlformats.org/spreadsheetml/2006/main">
  <sheetViews>
    <sheetView workbookViewId="0">
      <pane ySplit="3" topLeftCell="A4" activePane="bottomLeft" state="frozen"/>
    </sheetView>
  </sheetViews>
  <cols>
    <col min="1" max="1" width="18" customWidth="1"/>
    <col min="2" max="2" width="20" customWidth="1"/>
    <col min="3" max="3" width="8" customWidth="1"/>
    <col min="4" max="4" width="7" customWidth="1"/>
    <col min="5" max="5" width="7" customWidth="1"/>
    <col min="6" max="6" width="7" customWidth="1"/>
    <col min="7" max="7" width="7" customWidth="1"/>
    <col min="8" max="8" width="7" customWidth="1"/>
    <col min="9" max="9" width="8" customWidth="1"/>
    <col min="10" max="10" width="9" customWidth="1"/>
    <col min="11" max="11" width="9" customWidth="1"/>
    <col min="12" max="12" width="8" customWidth="1"/>
  </cols>
  <sheetData>
    <row r="1">
      <c r="A1" s="4" t="inlineStr">
        <is>
          <t xml:space="preserve">Roster: one row per (area, monster) in the vanilla game</t>
        </is>
      </c>
    </row>
    <row r="2">
      <c r="A2" s="3" t="inlineStr">
        <is>
          <t xml:space="preserve">Stats are looked up from the Monsters tab. This is the membership the Areas averages are built on, and the shape a randomized roster would be written back into (slot = position in the area's monster table).</t>
        </is>
      </c>
    </row>
    <row r="3">
      <c r="A3" s="1" t="inlineStr">
        <is>
          <t xml:space="preserve">Area</t>
        </is>
      </c>
      <c r="B3" s="1" t="inlineStr">
        <is>
          <t xml:space="preserve">Monster</t>
        </is>
      </c>
      <c r="C3" s="1" t="inlineStr">
        <is>
          <t xml:space="preserve">Table slot</t>
        </is>
      </c>
      <c r="D3" s="1" t="inlineStr">
        <is>
          <t xml:space="preserve">HP</t>
        </is>
      </c>
      <c r="E3" s="1" t="inlineStr">
        <is>
          <t xml:space="preserve">ATK</t>
        </is>
      </c>
      <c r="F3" s="1" t="inlineStr">
        <is>
          <t xml:space="preserve">DEF</t>
        </is>
      </c>
      <c r="G3" s="1" t="inlineStr">
        <is>
          <t xml:space="preserve">AGI</t>
        </is>
      </c>
      <c r="H3" s="1" t="inlineStr">
        <is>
          <t xml:space="preserve">EXP</t>
        </is>
      </c>
      <c r="I3" s="1" t="inlineStr">
        <is>
          <t xml:space="preserve">Power</t>
        </is>
      </c>
      <c r="J3" s="1" t="inlineStr">
        <is>
          <t xml:space="preserve">Native tier</t>
        </is>
      </c>
      <c r="K3" s="1" t="inlineStr">
        <is>
          <t xml:space="preserve">Area tier</t>
        </is>
      </c>
      <c r="L3" s="1" t="inlineStr">
        <is>
          <t xml:space="preserve">Tier gap</t>
        </is>
      </c>
    </row>
    <row r="4">
      <c r="A4" s="0" t="inlineStr">
        <is>
          <t xml:space="preserve">Holy Plains</t>
        </is>
      </c>
      <c r="B4" s="0" t="inlineStr">
        <is>
          <t xml:space="preserve">WERE HARE</t>
        </is>
      </c>
      <c r="C4" s="0">
        <v>0</v>
      </c>
      <c r="D4" s="0">
        <f>INDEX(Monsters!$E:$E,MATCH($B4,Monsters!$B:$B,0))</f>
      </c>
      <c r="E4" s="0">
        <f>INDEX(Monsters!$F:$F,MATCH($B4,Monsters!$B:$B,0))</f>
      </c>
      <c r="F4" s="0">
        <f>INDEX(Monsters!$G:$G,MATCH($B4,Monsters!$B:$B,0))</f>
      </c>
      <c r="G4" s="0">
        <f>INDEX(Monsters!$H:$H,MATCH($B4,Monsters!$B:$B,0))</f>
      </c>
      <c r="H4" s="0">
        <f>INDEX(Monsters!$I:$I,MATCH($B4,Monsters!$B:$B,0))</f>
      </c>
      <c r="I4" s="7">
        <f>INDEX(Monsters!$O:$O,MATCH($B4,Monsters!$B:$B,0))</f>
      </c>
      <c r="J4" s="0">
        <f>INDEX(Monsters!$D:$D,MATCH($B4,Monsters!$B:$B,0))</f>
      </c>
      <c r="K4" s="0">
        <f>INDEX(Areas!$C:$C,MATCH($A4,Areas!$B:$B,0))</f>
      </c>
      <c r="L4" s="0">
        <f>K4-J4</f>
      </c>
    </row>
    <row r="5">
      <c r="A5" s="0" t="inlineStr">
        <is>
          <t xml:space="preserve">Holy Plains</t>
        </is>
      </c>
      <c r="B5" s="0" t="inlineStr">
        <is>
          <t xml:space="preserve">HELL HOUND</t>
        </is>
      </c>
      <c r="C5" s="0">
        <v>1</v>
      </c>
      <c r="D5" s="0">
        <f>INDEX(Monsters!$E:$E,MATCH($B5,Monsters!$B:$B,0))</f>
      </c>
      <c r="E5" s="0">
        <f>INDEX(Monsters!$F:$F,MATCH($B5,Monsters!$B:$B,0))</f>
      </c>
      <c r="F5" s="0">
        <f>INDEX(Monsters!$G:$G,MATCH($B5,Monsters!$B:$B,0))</f>
      </c>
      <c r="G5" s="0">
        <f>INDEX(Monsters!$H:$H,MATCH($B5,Monsters!$B:$B,0))</f>
      </c>
      <c r="H5" s="0">
        <f>INDEX(Monsters!$I:$I,MATCH($B5,Monsters!$B:$B,0))</f>
      </c>
      <c r="I5" s="7">
        <f>INDEX(Monsters!$O:$O,MATCH($B5,Monsters!$B:$B,0))</f>
      </c>
      <c r="J5" s="0">
        <f>INDEX(Monsters!$D:$D,MATCH($B5,Monsters!$B:$B,0))</f>
      </c>
      <c r="K5" s="0">
        <f>INDEX(Areas!$C:$C,MATCH($A5,Areas!$B:$B,0))</f>
      </c>
      <c r="L5" s="0">
        <f>K5-J5</f>
      </c>
    </row>
    <row r="6">
      <c r="A6" s="0" t="inlineStr">
        <is>
          <t xml:space="preserve">Holy Plains</t>
        </is>
      </c>
      <c r="B6" s="0" t="inlineStr">
        <is>
          <t xml:space="preserve">MAN EATER</t>
        </is>
      </c>
      <c r="C6" s="0">
        <v>2</v>
      </c>
      <c r="D6" s="0">
        <f>INDEX(Monsters!$E:$E,MATCH($B6,Monsters!$B:$B,0))</f>
      </c>
      <c r="E6" s="0">
        <f>INDEX(Monsters!$F:$F,MATCH($B6,Monsters!$B:$B,0))</f>
      </c>
      <c r="F6" s="0">
        <f>INDEX(Monsters!$G:$G,MATCH($B6,Monsters!$B:$B,0))</f>
      </c>
      <c r="G6" s="0">
        <f>INDEX(Monsters!$H:$H,MATCH($B6,Monsters!$B:$B,0))</f>
      </c>
      <c r="H6" s="0">
        <f>INDEX(Monsters!$I:$I,MATCH($B6,Monsters!$B:$B,0))</f>
      </c>
      <c r="I6" s="7">
        <f>INDEX(Monsters!$O:$O,MATCH($B6,Monsters!$B:$B,0))</f>
      </c>
      <c r="J6" s="0">
        <f>INDEX(Monsters!$D:$D,MATCH($B6,Monsters!$B:$B,0))</f>
      </c>
      <c r="K6" s="0">
        <f>INDEX(Areas!$C:$C,MATCH($A6,Areas!$B:$B,0))</f>
      </c>
      <c r="L6" s="0">
        <f>K6-J6</f>
      </c>
    </row>
    <row r="7">
      <c r="A7" s="0" t="inlineStr">
        <is>
          <t xml:space="preserve">Holy Plains</t>
        </is>
      </c>
      <c r="B7" s="0" t="inlineStr">
        <is>
          <t xml:space="preserve">BIG MOUTH</t>
        </is>
      </c>
      <c r="C7" s="0">
        <v>3</v>
      </c>
      <c r="D7" s="0">
        <f>INDEX(Monsters!$E:$E,MATCH($B7,Monsters!$B:$B,0))</f>
      </c>
      <c r="E7" s="0">
        <f>INDEX(Monsters!$F:$F,MATCH($B7,Monsters!$B:$B,0))</f>
      </c>
      <c r="F7" s="0">
        <f>INDEX(Monsters!$G:$G,MATCH($B7,Monsters!$B:$B,0))</f>
      </c>
      <c r="G7" s="0">
        <f>INDEX(Monsters!$H:$H,MATCH($B7,Monsters!$B:$B,0))</f>
      </c>
      <c r="H7" s="0">
        <f>INDEX(Monsters!$I:$I,MATCH($B7,Monsters!$B:$B,0))</f>
      </c>
      <c r="I7" s="7">
        <f>INDEX(Monsters!$O:$O,MATCH($B7,Monsters!$B:$B,0))</f>
      </c>
      <c r="J7" s="0">
        <f>INDEX(Monsters!$D:$D,MATCH($B7,Monsters!$B:$B,0))</f>
      </c>
      <c r="K7" s="0">
        <f>INDEX(Areas!$C:$C,MATCH($A7,Areas!$B:$B,0))</f>
      </c>
      <c r="L7" s="0">
        <f>K7-J7</f>
      </c>
    </row>
    <row r="8">
      <c r="A8" s="0" t="inlineStr">
        <is>
          <t xml:space="preserve">Holy Plains</t>
        </is>
      </c>
      <c r="B8" s="0" t="inlineStr">
        <is>
          <t xml:space="preserve">BUMBERSHOOT</t>
        </is>
      </c>
      <c r="C8" s="0">
        <v>4</v>
      </c>
      <c r="D8" s="0">
        <f>INDEX(Monsters!$E:$E,MATCH($B8,Monsters!$B:$B,0))</f>
      </c>
      <c r="E8" s="0">
        <f>INDEX(Monsters!$F:$F,MATCH($B8,Monsters!$B:$B,0))</f>
      </c>
      <c r="F8" s="0">
        <f>INDEX(Monsters!$G:$G,MATCH($B8,Monsters!$B:$B,0))</f>
      </c>
      <c r="G8" s="0">
        <f>INDEX(Monsters!$H:$H,MATCH($B8,Monsters!$B:$B,0))</f>
      </c>
      <c r="H8" s="0">
        <f>INDEX(Monsters!$I:$I,MATCH($B8,Monsters!$B:$B,0))</f>
      </c>
      <c r="I8" s="7">
        <f>INDEX(Monsters!$O:$O,MATCH($B8,Monsters!$B:$B,0))</f>
      </c>
      <c r="J8" s="0">
        <f>INDEX(Monsters!$D:$D,MATCH($B8,Monsters!$B:$B,0))</f>
      </c>
      <c r="K8" s="0">
        <f>INDEX(Areas!$C:$C,MATCH($A8,Areas!$B:$B,0))</f>
      </c>
      <c r="L8" s="0">
        <f>K8-J8</f>
      </c>
    </row>
    <row r="9">
      <c r="A9" s="0" t="inlineStr">
        <is>
          <t xml:space="preserve">Holy Plains</t>
        </is>
      </c>
      <c r="B9" s="0" t="inlineStr">
        <is>
          <t xml:space="preserve">PARASAULT</t>
        </is>
      </c>
      <c r="C9" s="0">
        <v>5</v>
      </c>
      <c r="D9" s="0">
        <f>INDEX(Monsters!$E:$E,MATCH($B9,Monsters!$B:$B,0))</f>
      </c>
      <c r="E9" s="0">
        <f>INDEX(Monsters!$F:$F,MATCH($B9,Monsters!$B:$B,0))</f>
      </c>
      <c r="F9" s="0">
        <f>INDEX(Monsters!$G:$G,MATCH($B9,Monsters!$B:$B,0))</f>
      </c>
      <c r="G9" s="0">
        <f>INDEX(Monsters!$H:$H,MATCH($B9,Monsters!$B:$B,0))</f>
      </c>
      <c r="H9" s="0">
        <f>INDEX(Monsters!$I:$I,MATCH($B9,Monsters!$B:$B,0))</f>
      </c>
      <c r="I9" s="7">
        <f>INDEX(Monsters!$O:$O,MATCH($B9,Monsters!$B:$B,0))</f>
      </c>
      <c r="J9" s="0">
        <f>INDEX(Monsters!$D:$D,MATCH($B9,Monsters!$B:$B,0))</f>
      </c>
      <c r="K9" s="0">
        <f>INDEX(Areas!$C:$C,MATCH($A9,Areas!$B:$B,0))</f>
      </c>
      <c r="L9" s="0">
        <f>K9-J9</f>
      </c>
    </row>
    <row r="10">
      <c r="A10" s="0" t="inlineStr">
        <is>
          <t xml:space="preserve">Holy Plains</t>
        </is>
      </c>
      <c r="B10" s="0" t="inlineStr">
        <is>
          <t xml:space="preserve">ORK JR</t>
        </is>
      </c>
      <c r="C10" s="0">
        <v>6</v>
      </c>
      <c r="D10" s="0">
        <f>INDEX(Monsters!$E:$E,MATCH($B10,Monsters!$B:$B,0))</f>
      </c>
      <c r="E10" s="0">
        <f>INDEX(Monsters!$F:$F,MATCH($B10,Monsters!$B:$B,0))</f>
      </c>
      <c r="F10" s="0">
        <f>INDEX(Monsters!$G:$G,MATCH($B10,Monsters!$B:$B,0))</f>
      </c>
      <c r="G10" s="0">
        <f>INDEX(Monsters!$H:$H,MATCH($B10,Monsters!$B:$B,0))</f>
      </c>
      <c r="H10" s="0">
        <f>INDEX(Monsters!$I:$I,MATCH($B10,Monsters!$B:$B,0))</f>
      </c>
      <c r="I10" s="7">
        <f>INDEX(Monsters!$O:$O,MATCH($B10,Monsters!$B:$B,0))</f>
      </c>
      <c r="J10" s="0">
        <f>INDEX(Monsters!$D:$D,MATCH($B10,Monsters!$B:$B,0))</f>
      </c>
      <c r="K10" s="0">
        <f>INDEX(Areas!$C:$C,MATCH($A10,Areas!$B:$B,0))</f>
      </c>
      <c r="L10" s="0">
        <f>K10-J10</f>
      </c>
    </row>
    <row r="11">
      <c r="A11" s="0" t="inlineStr">
        <is>
          <t xml:space="preserve">Connor Forest</t>
        </is>
      </c>
      <c r="B11" s="0" t="inlineStr">
        <is>
          <t xml:space="preserve">KOBOLD</t>
        </is>
      </c>
      <c r="C11" s="0">
        <v>5</v>
      </c>
      <c r="D11" s="0">
        <f>INDEX(Monsters!$E:$E,MATCH($B11,Monsters!$B:$B,0))</f>
      </c>
      <c r="E11" s="0">
        <f>INDEX(Monsters!$F:$F,MATCH($B11,Monsters!$B:$B,0))</f>
      </c>
      <c r="F11" s="0">
        <f>INDEX(Monsters!$G:$G,MATCH($B11,Monsters!$B:$B,0))</f>
      </c>
      <c r="G11" s="0">
        <f>INDEX(Monsters!$H:$H,MATCH($B11,Monsters!$B:$B,0))</f>
      </c>
      <c r="H11" s="0">
        <f>INDEX(Monsters!$I:$I,MATCH($B11,Monsters!$B:$B,0))</f>
      </c>
      <c r="I11" s="7">
        <f>INDEX(Monsters!$O:$O,MATCH($B11,Monsters!$B:$B,0))</f>
      </c>
      <c r="J11" s="0">
        <f>INDEX(Monsters!$D:$D,MATCH($B11,Monsters!$B:$B,0))</f>
      </c>
      <c r="K11" s="0">
        <f>INDEX(Areas!$C:$C,MATCH($A11,Areas!$B:$B,0))</f>
      </c>
      <c r="L11" s="0">
        <f>K11-J11</f>
      </c>
    </row>
    <row r="12">
      <c r="A12" s="0" t="inlineStr">
        <is>
          <t xml:space="preserve">Connor Forest</t>
        </is>
      </c>
      <c r="B12" s="0" t="inlineStr">
        <is>
          <t xml:space="preserve">MAN TRAP</t>
        </is>
      </c>
      <c r="C12" s="0">
        <v>6</v>
      </c>
      <c r="D12" s="0">
        <f>INDEX(Monsters!$E:$E,MATCH($B12,Monsters!$B:$B,0))</f>
      </c>
      <c r="E12" s="0">
        <f>INDEX(Monsters!$F:$F,MATCH($B12,Monsters!$B:$B,0))</f>
      </c>
      <c r="F12" s="0">
        <f>INDEX(Monsters!$G:$G,MATCH($B12,Monsters!$B:$B,0))</f>
      </c>
      <c r="G12" s="0">
        <f>INDEX(Monsters!$H:$H,MATCH($B12,Monsters!$B:$B,0))</f>
      </c>
      <c r="H12" s="0">
        <f>INDEX(Monsters!$I:$I,MATCH($B12,Monsters!$B:$B,0))</f>
      </c>
      <c r="I12" s="7">
        <f>INDEX(Monsters!$O:$O,MATCH($B12,Monsters!$B:$B,0))</f>
      </c>
      <c r="J12" s="0">
        <f>INDEX(Monsters!$D:$D,MATCH($B12,Monsters!$B:$B,0))</f>
      </c>
      <c r="K12" s="0">
        <f>INDEX(Areas!$C:$C,MATCH($A12,Areas!$B:$B,0))</f>
      </c>
      <c r="L12" s="0">
        <f>K12-J12</f>
      </c>
    </row>
    <row r="13">
      <c r="A13" s="0" t="inlineStr">
        <is>
          <t xml:space="preserve">Connor Forest</t>
        </is>
      </c>
      <c r="B13" s="0" t="inlineStr">
        <is>
          <t xml:space="preserve">BAT</t>
        </is>
      </c>
      <c r="C13" s="0">
        <v>7</v>
      </c>
      <c r="D13" s="0">
        <f>INDEX(Monsters!$E:$E,MATCH($B13,Monsters!$B:$B,0))</f>
      </c>
      <c r="E13" s="0">
        <f>INDEX(Monsters!$F:$F,MATCH($B13,Monsters!$B:$B,0))</f>
      </c>
      <c r="F13" s="0">
        <f>INDEX(Monsters!$G:$G,MATCH($B13,Monsters!$B:$B,0))</f>
      </c>
      <c r="G13" s="0">
        <f>INDEX(Monsters!$H:$H,MATCH($B13,Monsters!$B:$B,0))</f>
      </c>
      <c r="H13" s="0">
        <f>INDEX(Monsters!$I:$I,MATCH($B13,Monsters!$B:$B,0))</f>
      </c>
      <c r="I13" s="7">
        <f>INDEX(Monsters!$O:$O,MATCH($B13,Monsters!$B:$B,0))</f>
      </c>
      <c r="J13" s="0">
        <f>INDEX(Monsters!$D:$D,MATCH($B13,Monsters!$B:$B,0))</f>
      </c>
      <c r="K13" s="0">
        <f>INDEX(Areas!$C:$C,MATCH($A13,Areas!$B:$B,0))</f>
      </c>
      <c r="L13" s="0">
        <f>K13-J13</f>
      </c>
    </row>
    <row r="14">
      <c r="A14" s="0" t="inlineStr">
        <is>
          <t xml:space="preserve">Connor Forest</t>
        </is>
      </c>
      <c r="B14" s="0" t="inlineStr">
        <is>
          <t xml:space="preserve">FROG KNIGHT</t>
        </is>
      </c>
      <c r="C14" s="0">
        <v>8</v>
      </c>
      <c r="D14" s="0">
        <f>INDEX(Monsters!$E:$E,MATCH($B14,Monsters!$B:$B,0))</f>
      </c>
      <c r="E14" s="0">
        <f>INDEX(Monsters!$F:$F,MATCH($B14,Monsters!$B:$B,0))</f>
      </c>
      <c r="F14" s="0">
        <f>INDEX(Monsters!$G:$G,MATCH($B14,Monsters!$B:$B,0))</f>
      </c>
      <c r="G14" s="0">
        <f>INDEX(Monsters!$H:$H,MATCH($B14,Monsters!$B:$B,0))</f>
      </c>
      <c r="H14" s="0">
        <f>INDEX(Monsters!$I:$I,MATCH($B14,Monsters!$B:$B,0))</f>
      </c>
      <c r="I14" s="7">
        <f>INDEX(Monsters!$O:$O,MATCH($B14,Monsters!$B:$B,0))</f>
      </c>
      <c r="J14" s="0">
        <f>INDEX(Monsters!$D:$D,MATCH($B14,Monsters!$B:$B,0))</f>
      </c>
      <c r="K14" s="0">
        <f>INDEX(Areas!$C:$C,MATCH($A14,Areas!$B:$B,0))</f>
      </c>
      <c r="L14" s="0">
        <f>K14-J14</f>
      </c>
    </row>
    <row r="15">
      <c r="A15" s="0" t="inlineStr">
        <is>
          <t xml:space="preserve">Connor Forest</t>
        </is>
      </c>
      <c r="B15" s="0" t="inlineStr">
        <is>
          <t xml:space="preserve">MARIONASTY</t>
        </is>
      </c>
      <c r="C15" s="0">
        <v>9</v>
      </c>
      <c r="D15" s="0">
        <f>INDEX(Monsters!$E:$E,MATCH($B15,Monsters!$B:$B,0))</f>
      </c>
      <c r="E15" s="0">
        <f>INDEX(Monsters!$F:$F,MATCH($B15,Monsters!$B:$B,0))</f>
      </c>
      <c r="F15" s="0">
        <f>INDEX(Monsters!$G:$G,MATCH($B15,Monsters!$B:$B,0))</f>
      </c>
      <c r="G15" s="0">
        <f>INDEX(Monsters!$H:$H,MATCH($B15,Monsters!$B:$B,0))</f>
      </c>
      <c r="H15" s="0">
        <f>INDEX(Monsters!$I:$I,MATCH($B15,Monsters!$B:$B,0))</f>
      </c>
      <c r="I15" s="7">
        <f>INDEX(Monsters!$O:$O,MATCH($B15,Monsters!$B:$B,0))</f>
      </c>
      <c r="J15" s="0">
        <f>INDEX(Monsters!$D:$D,MATCH($B15,Monsters!$B:$B,0))</f>
      </c>
      <c r="K15" s="0">
        <f>INDEX(Areas!$C:$C,MATCH($A15,Areas!$B:$B,0))</f>
      </c>
      <c r="L15" s="0">
        <f>K15-J15</f>
      </c>
    </row>
    <row r="16">
      <c r="A16" s="0" t="inlineStr">
        <is>
          <t xml:space="preserve">Dondoran Flats</t>
        </is>
      </c>
      <c r="B16" s="0" t="inlineStr">
        <is>
          <t xml:space="preserve">GOBLIN</t>
        </is>
      </c>
      <c r="C16" s="0">
        <v>0</v>
      </c>
      <c r="D16" s="0">
        <f>INDEX(Monsters!$E:$E,MATCH($B16,Monsters!$B:$B,0))</f>
      </c>
      <c r="E16" s="0">
        <f>INDEX(Monsters!$F:$F,MATCH($B16,Monsters!$B:$B,0))</f>
      </c>
      <c r="F16" s="0">
        <f>INDEX(Monsters!$G:$G,MATCH($B16,Monsters!$B:$B,0))</f>
      </c>
      <c r="G16" s="0">
        <f>INDEX(Monsters!$H:$H,MATCH($B16,Monsters!$B:$B,0))</f>
      </c>
      <c r="H16" s="0">
        <f>INDEX(Monsters!$I:$I,MATCH($B16,Monsters!$B:$B,0))</f>
      </c>
      <c r="I16" s="7">
        <f>INDEX(Monsters!$O:$O,MATCH($B16,Monsters!$B:$B,0))</f>
      </c>
      <c r="J16" s="0">
        <f>INDEX(Monsters!$D:$D,MATCH($B16,Monsters!$B:$B,0))</f>
      </c>
      <c r="K16" s="0">
        <f>INDEX(Areas!$C:$C,MATCH($A16,Areas!$B:$B,0))</f>
      </c>
      <c r="L16" s="0">
        <f>K16-J16</f>
      </c>
    </row>
    <row r="17">
      <c r="A17" s="0" t="inlineStr">
        <is>
          <t xml:space="preserve">Dondoran Flats</t>
        </is>
      </c>
      <c r="B17" s="0" t="inlineStr">
        <is>
          <t xml:space="preserve">FROG KING</t>
        </is>
      </c>
      <c r="C17" s="0">
        <v>1</v>
      </c>
      <c r="D17" s="0">
        <f>INDEX(Monsters!$E:$E,MATCH($B17,Monsters!$B:$B,0))</f>
      </c>
      <c r="E17" s="0">
        <f>INDEX(Monsters!$F:$F,MATCH($B17,Monsters!$B:$B,0))</f>
      </c>
      <c r="F17" s="0">
        <f>INDEX(Monsters!$G:$G,MATCH($B17,Monsters!$B:$B,0))</f>
      </c>
      <c r="G17" s="0">
        <f>INDEX(Monsters!$H:$H,MATCH($B17,Monsters!$B:$B,0))</f>
      </c>
      <c r="H17" s="0">
        <f>INDEX(Monsters!$I:$I,MATCH($B17,Monsters!$B:$B,0))</f>
      </c>
      <c r="I17" s="7">
        <f>INDEX(Monsters!$O:$O,MATCH($B17,Monsters!$B:$B,0))</f>
      </c>
      <c r="J17" s="0">
        <f>INDEX(Monsters!$D:$D,MATCH($B17,Monsters!$B:$B,0))</f>
      </c>
      <c r="K17" s="0">
        <f>INDEX(Areas!$C:$C,MATCH($A17,Areas!$B:$B,0))</f>
      </c>
      <c r="L17" s="0">
        <f>K17-J17</f>
      </c>
    </row>
    <row r="18">
      <c r="A18" s="0" t="inlineStr">
        <is>
          <t xml:space="preserve">Dondoran Flats</t>
        </is>
      </c>
      <c r="B18" s="0" t="inlineStr">
        <is>
          <t xml:space="preserve">APOPHIS</t>
        </is>
      </c>
      <c r="C18" s="0">
        <v>2</v>
      </c>
      <c r="D18" s="0">
        <f>INDEX(Monsters!$E:$E,MATCH($B18,Monsters!$B:$B,0))</f>
      </c>
      <c r="E18" s="0">
        <f>INDEX(Monsters!$F:$F,MATCH($B18,Monsters!$B:$B,0))</f>
      </c>
      <c r="F18" s="0">
        <f>INDEX(Monsters!$G:$G,MATCH($B18,Monsters!$B:$B,0))</f>
      </c>
      <c r="G18" s="0">
        <f>INDEX(Monsters!$H:$H,MATCH($B18,Monsters!$B:$B,0))</f>
      </c>
      <c r="H18" s="0">
        <f>INDEX(Monsters!$I:$I,MATCH($B18,Monsters!$B:$B,0))</f>
      </c>
      <c r="I18" s="7">
        <f>INDEX(Monsters!$O:$O,MATCH($B18,Monsters!$B:$B,0))</f>
      </c>
      <c r="J18" s="0">
        <f>INDEX(Monsters!$D:$D,MATCH($B18,Monsters!$B:$B,0))</f>
      </c>
      <c r="K18" s="0">
        <f>INDEX(Areas!$C:$C,MATCH($A18,Areas!$B:$B,0))</f>
      </c>
      <c r="L18" s="0">
        <f>K18-J18</f>
      </c>
    </row>
    <row r="19">
      <c r="A19" s="0" t="inlineStr">
        <is>
          <t xml:space="preserve">Dondoran Flats</t>
        </is>
      </c>
      <c r="B19" s="0" t="inlineStr">
        <is>
          <t xml:space="preserve">MAD DOLL</t>
        </is>
      </c>
      <c r="C19" s="0">
        <v>3</v>
      </c>
      <c r="D19" s="0">
        <f>INDEX(Monsters!$E:$E,MATCH($B19,Monsters!$B:$B,0))</f>
      </c>
      <c r="E19" s="0">
        <f>INDEX(Monsters!$F:$F,MATCH($B19,Monsters!$B:$B,0))</f>
      </c>
      <c r="F19" s="0">
        <f>INDEX(Monsters!$G:$G,MATCH($B19,Monsters!$B:$B,0))</f>
      </c>
      <c r="G19" s="0">
        <f>INDEX(Monsters!$H:$H,MATCH($B19,Monsters!$B:$B,0))</f>
      </c>
      <c r="H19" s="0">
        <f>INDEX(Monsters!$I:$I,MATCH($B19,Monsters!$B:$B,0))</f>
      </c>
      <c r="I19" s="7">
        <f>INDEX(Monsters!$O:$O,MATCH($B19,Monsters!$B:$B,0))</f>
      </c>
      <c r="J19" s="0">
        <f>INDEX(Monsters!$D:$D,MATCH($B19,Monsters!$B:$B,0))</f>
      </c>
      <c r="K19" s="0">
        <f>INDEX(Areas!$C:$C,MATCH($A19,Areas!$B:$B,0))</f>
      </c>
      <c r="L19" s="0">
        <f>K19-J19</f>
      </c>
    </row>
    <row r="20">
      <c r="A20" s="0" t="inlineStr">
        <is>
          <t xml:space="preserve">Dondoran Flats</t>
        </is>
      </c>
      <c r="B20" s="0" t="inlineStr">
        <is>
          <t xml:space="preserve">DEATH HUGGER</t>
        </is>
      </c>
      <c r="C20" s="0">
        <v>4</v>
      </c>
      <c r="D20" s="0">
        <f>INDEX(Monsters!$E:$E,MATCH($B20,Monsters!$B:$B,0))</f>
      </c>
      <c r="E20" s="0">
        <f>INDEX(Monsters!$F:$F,MATCH($B20,Monsters!$B:$B,0))</f>
      </c>
      <c r="F20" s="0">
        <f>INDEX(Monsters!$G:$G,MATCH($B20,Monsters!$B:$B,0))</f>
      </c>
      <c r="G20" s="0">
        <f>INDEX(Monsters!$H:$H,MATCH($B20,Monsters!$B:$B,0))</f>
      </c>
      <c r="H20" s="0">
        <f>INDEX(Monsters!$I:$I,MATCH($B20,Monsters!$B:$B,0))</f>
      </c>
      <c r="I20" s="7">
        <f>INDEX(Monsters!$O:$O,MATCH($B20,Monsters!$B:$B,0))</f>
      </c>
      <c r="J20" s="0">
        <f>INDEX(Monsters!$D:$D,MATCH($B20,Monsters!$B:$B,0))</f>
      </c>
      <c r="K20" s="0">
        <f>INDEX(Areas!$C:$C,MATCH($A20,Areas!$B:$B,0))</f>
      </c>
      <c r="L20" s="0">
        <f>K20-J20</f>
      </c>
    </row>
    <row r="21">
      <c r="A21" s="0" t="inlineStr">
        <is>
          <t xml:space="preserve">Dondoran Flats</t>
        </is>
      </c>
      <c r="B21" s="0" t="inlineStr">
        <is>
          <t xml:space="preserve">FROG KNIGHT</t>
        </is>
      </c>
      <c r="C21" s="0">
        <v>8</v>
      </c>
      <c r="D21" s="0">
        <f>INDEX(Monsters!$E:$E,MATCH($B21,Monsters!$B:$B,0))</f>
      </c>
      <c r="E21" s="0">
        <f>INDEX(Monsters!$F:$F,MATCH($B21,Monsters!$B:$B,0))</f>
      </c>
      <c r="F21" s="0">
        <f>INDEX(Monsters!$G:$G,MATCH($B21,Monsters!$B:$B,0))</f>
      </c>
      <c r="G21" s="0">
        <f>INDEX(Monsters!$H:$H,MATCH($B21,Monsters!$B:$B,0))</f>
      </c>
      <c r="H21" s="0">
        <f>INDEX(Monsters!$I:$I,MATCH($B21,Monsters!$B:$B,0))</f>
      </c>
      <c r="I21" s="7">
        <f>INDEX(Monsters!$O:$O,MATCH($B21,Monsters!$B:$B,0))</f>
      </c>
      <c r="J21" s="0">
        <f>INDEX(Monsters!$D:$D,MATCH($B21,Monsters!$B:$B,0))</f>
      </c>
      <c r="K21" s="0">
        <f>INDEX(Areas!$C:$C,MATCH($A21,Areas!$B:$B,0))</f>
      </c>
      <c r="L21" s="0">
        <f>K21-J21</f>
      </c>
    </row>
    <row r="22">
      <c r="A22" s="0" t="inlineStr">
        <is>
          <t xml:space="preserve">Dondoran Flats</t>
        </is>
      </c>
      <c r="B22" s="0" t="inlineStr">
        <is>
          <t xml:space="preserve">COCKATRICE</t>
        </is>
      </c>
      <c r="C22" s="0">
        <v>14</v>
      </c>
      <c r="D22" s="0">
        <f>INDEX(Monsters!$E:$E,MATCH($B22,Monsters!$B:$B,0))</f>
      </c>
      <c r="E22" s="0">
        <f>INDEX(Monsters!$F:$F,MATCH($B22,Monsters!$B:$B,0))</f>
      </c>
      <c r="F22" s="0">
        <f>INDEX(Monsters!$G:$G,MATCH($B22,Monsters!$B:$B,0))</f>
      </c>
      <c r="G22" s="0">
        <f>INDEX(Monsters!$H:$H,MATCH($B22,Monsters!$B:$B,0))</f>
      </c>
      <c r="H22" s="0">
        <f>INDEX(Monsters!$I:$I,MATCH($B22,Monsters!$B:$B,0))</f>
      </c>
      <c r="I22" s="7">
        <f>INDEX(Monsters!$O:$O,MATCH($B22,Monsters!$B:$B,0))</f>
      </c>
      <c r="J22" s="0">
        <f>INDEX(Monsters!$D:$D,MATCH($B22,Monsters!$B:$B,0))</f>
      </c>
      <c r="K22" s="0">
        <f>INDEX(Areas!$C:$C,MATCH($A22,Areas!$B:$B,0))</f>
      </c>
      <c r="L22" s="0">
        <f>K22-J22</f>
      </c>
    </row>
    <row r="23">
      <c r="A23" s="0" t="inlineStr">
        <is>
          <t xml:space="preserve">Glencoe Forest</t>
        </is>
      </c>
      <c r="B23" s="0" t="inlineStr">
        <is>
          <t xml:space="preserve">DARK GOBLIN</t>
        </is>
      </c>
      <c r="C23" s="0">
        <v>10</v>
      </c>
      <c r="D23" s="0">
        <f>INDEX(Monsters!$E:$E,MATCH($B23,Monsters!$B:$B,0))</f>
      </c>
      <c r="E23" s="0">
        <f>INDEX(Monsters!$F:$F,MATCH($B23,Monsters!$B:$B,0))</f>
      </c>
      <c r="F23" s="0">
        <f>INDEX(Monsters!$G:$G,MATCH($B23,Monsters!$B:$B,0))</f>
      </c>
      <c r="G23" s="0">
        <f>INDEX(Monsters!$H:$H,MATCH($B23,Monsters!$B:$B,0))</f>
      </c>
      <c r="H23" s="0">
        <f>INDEX(Monsters!$I:$I,MATCH($B23,Monsters!$B:$B,0))</f>
      </c>
      <c r="I23" s="7">
        <f>INDEX(Monsters!$O:$O,MATCH($B23,Monsters!$B:$B,0))</f>
      </c>
      <c r="J23" s="0">
        <f>INDEX(Monsters!$D:$D,MATCH($B23,Monsters!$B:$B,0))</f>
      </c>
      <c r="K23" s="0">
        <f>INDEX(Areas!$C:$C,MATCH($A23,Areas!$B:$B,0))</f>
      </c>
      <c r="L23" s="0">
        <f>K23-J23</f>
      </c>
    </row>
    <row r="24">
      <c r="A24" s="0" t="inlineStr">
        <is>
          <t xml:space="preserve">Glencoe Forest</t>
        </is>
      </c>
      <c r="B24" s="0" t="inlineStr">
        <is>
          <t xml:space="preserve">HOT LIPS</t>
        </is>
      </c>
      <c r="C24" s="0">
        <v>11</v>
      </c>
      <c r="D24" s="0">
        <f>INDEX(Monsters!$E:$E,MATCH($B24,Monsters!$B:$B,0))</f>
      </c>
      <c r="E24" s="0">
        <f>INDEX(Monsters!$F:$F,MATCH($B24,Monsters!$B:$B,0))</f>
      </c>
      <c r="F24" s="0">
        <f>INDEX(Monsters!$G:$G,MATCH($B24,Monsters!$B:$B,0))</f>
      </c>
      <c r="G24" s="0">
        <f>INDEX(Monsters!$H:$H,MATCH($B24,Monsters!$B:$B,0))</f>
      </c>
      <c r="H24" s="0">
        <f>INDEX(Monsters!$I:$I,MATCH($B24,Monsters!$B:$B,0))</f>
      </c>
      <c r="I24" s="7">
        <f>INDEX(Monsters!$O:$O,MATCH($B24,Monsters!$B:$B,0))</f>
      </c>
      <c r="J24" s="0">
        <f>INDEX(Monsters!$D:$D,MATCH($B24,Monsters!$B:$B,0))</f>
      </c>
      <c r="K24" s="0">
        <f>INDEX(Areas!$C:$C,MATCH($A24,Areas!$B:$B,0))</f>
      </c>
      <c r="L24" s="0">
        <f>K24-J24</f>
      </c>
    </row>
    <row r="25">
      <c r="A25" s="0" t="inlineStr">
        <is>
          <t xml:space="preserve">Glencoe Forest</t>
        </is>
      </c>
      <c r="B25" s="0" t="inlineStr">
        <is>
          <t xml:space="preserve">GHOST STALKER</t>
        </is>
      </c>
      <c r="C25" s="0">
        <v>12</v>
      </c>
      <c r="D25" s="0">
        <f>INDEX(Monsters!$E:$E,MATCH($B25,Monsters!$B:$B,0))</f>
      </c>
      <c r="E25" s="0">
        <f>INDEX(Monsters!$F:$F,MATCH($B25,Monsters!$B:$B,0))</f>
      </c>
      <c r="F25" s="0">
        <f>INDEX(Monsters!$G:$G,MATCH($B25,Monsters!$B:$B,0))</f>
      </c>
      <c r="G25" s="0">
        <f>INDEX(Monsters!$H:$H,MATCH($B25,Monsters!$B:$B,0))</f>
      </c>
      <c r="H25" s="0">
        <f>INDEX(Monsters!$I:$I,MATCH($B25,Monsters!$B:$B,0))</f>
      </c>
      <c r="I25" s="7">
        <f>INDEX(Monsters!$O:$O,MATCH($B25,Monsters!$B:$B,0))</f>
      </c>
      <c r="J25" s="0">
        <f>INDEX(Monsters!$D:$D,MATCH($B25,Monsters!$B:$B,0))</f>
      </c>
      <c r="K25" s="0">
        <f>INDEX(Areas!$C:$C,MATCH($A25,Areas!$B:$B,0))</f>
      </c>
      <c r="L25" s="0">
        <f>K25-J25</f>
      </c>
    </row>
    <row r="26">
      <c r="A26" s="0" t="inlineStr">
        <is>
          <t xml:space="preserve">Glencoe Forest</t>
        </is>
      </c>
      <c r="B26" s="0" t="inlineStr">
        <is>
          <t xml:space="preserve">TREANT</t>
        </is>
      </c>
      <c r="C26" s="0">
        <v>13</v>
      </c>
      <c r="D26" s="0">
        <f>INDEX(Monsters!$E:$E,MATCH($B26,Monsters!$B:$B,0))</f>
      </c>
      <c r="E26" s="0">
        <f>INDEX(Monsters!$F:$F,MATCH($B26,Monsters!$B:$B,0))</f>
      </c>
      <c r="F26" s="0">
        <f>INDEX(Monsters!$G:$G,MATCH($B26,Monsters!$B:$B,0))</f>
      </c>
      <c r="G26" s="0">
        <f>INDEX(Monsters!$H:$H,MATCH($B26,Monsters!$B:$B,0))</f>
      </c>
      <c r="H26" s="0">
        <f>INDEX(Monsters!$I:$I,MATCH($B26,Monsters!$B:$B,0))</f>
      </c>
      <c r="I26" s="7">
        <f>INDEX(Monsters!$O:$O,MATCH($B26,Monsters!$B:$B,0))</f>
      </c>
      <c r="J26" s="0">
        <f>INDEX(Monsters!$D:$D,MATCH($B26,Monsters!$B:$B,0))</f>
      </c>
      <c r="K26" s="0">
        <f>INDEX(Areas!$C:$C,MATCH($A26,Areas!$B:$B,0))</f>
      </c>
      <c r="L26" s="0">
        <f>K26-J26</f>
      </c>
    </row>
    <row r="27">
      <c r="A27" s="0" t="inlineStr">
        <is>
          <t xml:space="preserve">West Carmaugh</t>
        </is>
      </c>
      <c r="B27" s="0" t="inlineStr">
        <is>
          <t xml:space="preserve">WERE HARE</t>
        </is>
      </c>
      <c r="C27" s="0">
        <v>0</v>
      </c>
      <c r="D27" s="0">
        <f>INDEX(Monsters!$E:$E,MATCH($B27,Monsters!$B:$B,0))</f>
      </c>
      <c r="E27" s="0">
        <f>INDEX(Monsters!$F:$F,MATCH($B27,Monsters!$B:$B,0))</f>
      </c>
      <c r="F27" s="0">
        <f>INDEX(Monsters!$G:$G,MATCH($B27,Monsters!$B:$B,0))</f>
      </c>
      <c r="G27" s="0">
        <f>INDEX(Monsters!$H:$H,MATCH($B27,Monsters!$B:$B,0))</f>
      </c>
      <c r="H27" s="0">
        <f>INDEX(Monsters!$I:$I,MATCH($B27,Monsters!$B:$B,0))</f>
      </c>
      <c r="I27" s="7">
        <f>INDEX(Monsters!$O:$O,MATCH($B27,Monsters!$B:$B,0))</f>
      </c>
      <c r="J27" s="0">
        <f>INDEX(Monsters!$D:$D,MATCH($B27,Monsters!$B:$B,0))</f>
      </c>
      <c r="K27" s="0">
        <f>INDEX(Areas!$C:$C,MATCH($A27,Areas!$B:$B,0))</f>
      </c>
      <c r="L27" s="0">
        <f>K27-J27</f>
      </c>
    </row>
    <row r="28">
      <c r="A28" s="0" t="inlineStr">
        <is>
          <t xml:space="preserve">West Carmaugh</t>
        </is>
      </c>
      <c r="B28" s="0" t="inlineStr">
        <is>
          <t xml:space="preserve">ORK JR</t>
        </is>
      </c>
      <c r="C28" s="0">
        <v>6</v>
      </c>
      <c r="D28" s="0">
        <f>INDEX(Monsters!$E:$E,MATCH($B28,Monsters!$B:$B,0))</f>
      </c>
      <c r="E28" s="0">
        <f>INDEX(Monsters!$F:$F,MATCH($B28,Monsters!$B:$B,0))</f>
      </c>
      <c r="F28" s="0">
        <f>INDEX(Monsters!$G:$G,MATCH($B28,Monsters!$B:$B,0))</f>
      </c>
      <c r="G28" s="0">
        <f>INDEX(Monsters!$H:$H,MATCH($B28,Monsters!$B:$B,0))</f>
      </c>
      <c r="H28" s="0">
        <f>INDEX(Monsters!$I:$I,MATCH($B28,Monsters!$B:$B,0))</f>
      </c>
      <c r="I28" s="7">
        <f>INDEX(Monsters!$O:$O,MATCH($B28,Monsters!$B:$B,0))</f>
      </c>
      <c r="J28" s="0">
        <f>INDEX(Monsters!$D:$D,MATCH($B28,Monsters!$B:$B,0))</f>
      </c>
      <c r="K28" s="0">
        <f>INDEX(Areas!$C:$C,MATCH($A28,Areas!$B:$B,0))</f>
      </c>
      <c r="L28" s="0">
        <f>K28-J28</f>
      </c>
    </row>
    <row r="29">
      <c r="A29" s="0" t="inlineStr">
        <is>
          <t xml:space="preserve">West Carmaugh</t>
        </is>
      </c>
      <c r="B29" s="0" t="inlineStr">
        <is>
          <t xml:space="preserve">GREMLIN</t>
        </is>
      </c>
      <c r="C29" s="0">
        <v>7</v>
      </c>
      <c r="D29" s="0">
        <f>INDEX(Monsters!$E:$E,MATCH($B29,Monsters!$B:$B,0))</f>
      </c>
      <c r="E29" s="0">
        <f>INDEX(Monsters!$F:$F,MATCH($B29,Monsters!$B:$B,0))</f>
      </c>
      <c r="F29" s="0">
        <f>INDEX(Monsters!$G:$G,MATCH($B29,Monsters!$B:$B,0))</f>
      </c>
      <c r="G29" s="0">
        <f>INDEX(Monsters!$H:$H,MATCH($B29,Monsters!$B:$B,0))</f>
      </c>
      <c r="H29" s="0">
        <f>INDEX(Monsters!$I:$I,MATCH($B29,Monsters!$B:$B,0))</f>
      </c>
      <c r="I29" s="7">
        <f>INDEX(Monsters!$O:$O,MATCH($B29,Monsters!$B:$B,0))</f>
      </c>
      <c r="J29" s="0">
        <f>INDEX(Monsters!$D:$D,MATCH($B29,Monsters!$B:$B,0))</f>
      </c>
      <c r="K29" s="0">
        <f>INDEX(Areas!$C:$C,MATCH($A29,Areas!$B:$B,0))</f>
      </c>
      <c r="L29" s="0">
        <f>K29-J29</f>
      </c>
    </row>
    <row r="30">
      <c r="A30" s="0" t="inlineStr">
        <is>
          <t xml:space="preserve">West Carmaugh</t>
        </is>
      </c>
      <c r="B30" s="0" t="inlineStr">
        <is>
          <t xml:space="preserve">SKELETON</t>
        </is>
      </c>
      <c r="C30" s="0">
        <v>8</v>
      </c>
      <c r="D30" s="0">
        <f>INDEX(Monsters!$E:$E,MATCH($B30,Monsters!$B:$B,0))</f>
      </c>
      <c r="E30" s="0">
        <f>INDEX(Monsters!$F:$F,MATCH($B30,Monsters!$B:$B,0))</f>
      </c>
      <c r="F30" s="0">
        <f>INDEX(Monsters!$G:$G,MATCH($B30,Monsters!$B:$B,0))</f>
      </c>
      <c r="G30" s="0">
        <f>INDEX(Monsters!$H:$H,MATCH($B30,Monsters!$B:$B,0))</f>
      </c>
      <c r="H30" s="0">
        <f>INDEX(Monsters!$I:$I,MATCH($B30,Monsters!$B:$B,0))</f>
      </c>
      <c r="I30" s="7">
        <f>INDEX(Monsters!$O:$O,MATCH($B30,Monsters!$B:$B,0))</f>
      </c>
      <c r="J30" s="0">
        <f>INDEX(Monsters!$D:$D,MATCH($B30,Monsters!$B:$B,0))</f>
      </c>
      <c r="K30" s="0">
        <f>INDEX(Areas!$C:$C,MATCH($A30,Areas!$B:$B,0))</f>
      </c>
      <c r="L30" s="0">
        <f>K30-J30</f>
      </c>
    </row>
    <row r="31">
      <c r="A31" s="0" t="inlineStr">
        <is>
          <t xml:space="preserve">West Carmaugh</t>
        </is>
      </c>
      <c r="B31" s="0" t="inlineStr">
        <is>
          <t xml:space="preserve">GHOSTHOUND</t>
        </is>
      </c>
      <c r="C31" s="0">
        <v>9</v>
      </c>
      <c r="D31" s="0">
        <f>INDEX(Monsters!$E:$E,MATCH($B31,Monsters!$B:$B,0))</f>
      </c>
      <c r="E31" s="0">
        <f>INDEX(Monsters!$F:$F,MATCH($B31,Monsters!$B:$B,0))</f>
      </c>
      <c r="F31" s="0">
        <f>INDEX(Monsters!$G:$G,MATCH($B31,Monsters!$B:$B,0))</f>
      </c>
      <c r="G31" s="0">
        <f>INDEX(Monsters!$H:$H,MATCH($B31,Monsters!$B:$B,0))</f>
      </c>
      <c r="H31" s="0">
        <f>INDEX(Monsters!$I:$I,MATCH($B31,Monsters!$B:$B,0))</f>
      </c>
      <c r="I31" s="7">
        <f>INDEX(Monsters!$O:$O,MATCH($B31,Monsters!$B:$B,0))</f>
      </c>
      <c r="J31" s="0">
        <f>INDEX(Monsters!$D:$D,MATCH($B31,Monsters!$B:$B,0))</f>
      </c>
      <c r="K31" s="0">
        <f>INDEX(Areas!$C:$C,MATCH($A31,Areas!$B:$B,0))</f>
      </c>
      <c r="L31" s="0">
        <f>K31-J31</f>
      </c>
    </row>
    <row r="32">
      <c r="A32" s="0" t="inlineStr">
        <is>
          <t xml:space="preserve">West Carmaugh</t>
        </is>
      </c>
      <c r="B32" s="0" t="inlineStr">
        <is>
          <t xml:space="preserve">MERROW</t>
        </is>
      </c>
      <c r="C32" s="0">
        <v>10</v>
      </c>
      <c r="D32" s="0">
        <f>INDEX(Monsters!$E:$E,MATCH($B32,Monsters!$B:$B,0))</f>
      </c>
      <c r="E32" s="0">
        <f>INDEX(Monsters!$F:$F,MATCH($B32,Monsters!$B:$B,0))</f>
      </c>
      <c r="F32" s="0">
        <f>INDEX(Monsters!$G:$G,MATCH($B32,Monsters!$B:$B,0))</f>
      </c>
      <c r="G32" s="0">
        <f>INDEX(Monsters!$H:$H,MATCH($B32,Monsters!$B:$B,0))</f>
      </c>
      <c r="H32" s="0">
        <f>INDEX(Monsters!$I:$I,MATCH($B32,Monsters!$B:$B,0))</f>
      </c>
      <c r="I32" s="7">
        <f>INDEX(Monsters!$O:$O,MATCH($B32,Monsters!$B:$B,0))</f>
      </c>
      <c r="J32" s="0">
        <f>INDEX(Monsters!$D:$D,MATCH($B32,Monsters!$B:$B,0))</f>
      </c>
      <c r="K32" s="0">
        <f>INDEX(Areas!$C:$C,MATCH($A32,Areas!$B:$B,0))</f>
      </c>
      <c r="L32" s="0">
        <f>K32-J32</f>
      </c>
    </row>
    <row r="33">
      <c r="A33" s="0" t="inlineStr">
        <is>
          <t xml:space="preserve">West Carmaugh</t>
        </is>
      </c>
      <c r="B33" s="0" t="inlineStr">
        <is>
          <t xml:space="preserve">WOLF GOAT</t>
        </is>
      </c>
      <c r="C33" s="0">
        <v>11</v>
      </c>
      <c r="D33" s="0">
        <f>INDEX(Monsters!$E:$E,MATCH($B33,Monsters!$B:$B,0))</f>
      </c>
      <c r="E33" s="0">
        <f>INDEX(Monsters!$F:$F,MATCH($B33,Monsters!$B:$B,0))</f>
      </c>
      <c r="F33" s="0">
        <f>INDEX(Monsters!$G:$G,MATCH($B33,Monsters!$B:$B,0))</f>
      </c>
      <c r="G33" s="0">
        <f>INDEX(Monsters!$H:$H,MATCH($B33,Monsters!$B:$B,0))</f>
      </c>
      <c r="H33" s="0">
        <f>INDEX(Monsters!$I:$I,MATCH($B33,Monsters!$B:$B,0))</f>
      </c>
      <c r="I33" s="7">
        <f>INDEX(Monsters!$O:$O,MATCH($B33,Monsters!$B:$B,0))</f>
      </c>
      <c r="J33" s="0">
        <f>INDEX(Monsters!$D:$D,MATCH($B33,Monsters!$B:$B,0))</f>
      </c>
      <c r="K33" s="0">
        <f>INDEX(Areas!$C:$C,MATCH($A33,Areas!$B:$B,0))</f>
      </c>
      <c r="L33" s="0">
        <f>K33-J33</f>
      </c>
    </row>
    <row r="34">
      <c r="A34" s="0" t="inlineStr">
        <is>
          <t xml:space="preserve">Cull Hazard</t>
        </is>
      </c>
      <c r="B34" s="0" t="inlineStr">
        <is>
          <t xml:space="preserve">MIMIC</t>
        </is>
      </c>
      <c r="C34" s="0">
        <v>1</v>
      </c>
      <c r="D34" s="0">
        <f>INDEX(Monsters!$E:$E,MATCH($B34,Monsters!$B:$B,0))</f>
      </c>
      <c r="E34" s="0">
        <f>INDEX(Monsters!$F:$F,MATCH($B34,Monsters!$B:$B,0))</f>
      </c>
      <c r="F34" s="0">
        <f>INDEX(Monsters!$G:$G,MATCH($B34,Monsters!$B:$B,0))</f>
      </c>
      <c r="G34" s="0">
        <f>INDEX(Monsters!$H:$H,MATCH($B34,Monsters!$B:$B,0))</f>
      </c>
      <c r="H34" s="0">
        <f>INDEX(Monsters!$I:$I,MATCH($B34,Monsters!$B:$B,0))</f>
      </c>
      <c r="I34" s="7">
        <f>INDEX(Monsters!$O:$O,MATCH($B34,Monsters!$B:$B,0))</f>
      </c>
      <c r="J34" s="0">
        <f>INDEX(Monsters!$D:$D,MATCH($B34,Monsters!$B:$B,0))</f>
      </c>
      <c r="K34" s="0">
        <f>INDEX(Areas!$C:$C,MATCH($A34,Areas!$B:$B,0))</f>
      </c>
      <c r="L34" s="0">
        <f>K34-J34</f>
      </c>
    </row>
    <row r="35">
      <c r="A35" s="0" t="inlineStr">
        <is>
          <t xml:space="preserve">Cull Hazard</t>
        </is>
      </c>
      <c r="B35" s="0" t="inlineStr">
        <is>
          <t xml:space="preserve">SCARE CROW</t>
        </is>
      </c>
      <c r="C35" s="0">
        <v>4</v>
      </c>
      <c r="D35" s="0">
        <f>INDEX(Monsters!$E:$E,MATCH($B35,Monsters!$B:$B,0))</f>
      </c>
      <c r="E35" s="0">
        <f>INDEX(Monsters!$F:$F,MATCH($B35,Monsters!$B:$B,0))</f>
      </c>
      <c r="F35" s="0">
        <f>INDEX(Monsters!$G:$G,MATCH($B35,Monsters!$B:$B,0))</f>
      </c>
      <c r="G35" s="0">
        <f>INDEX(Monsters!$H:$H,MATCH($B35,Monsters!$B:$B,0))</f>
      </c>
      <c r="H35" s="0">
        <f>INDEX(Monsters!$I:$I,MATCH($B35,Monsters!$B:$B,0))</f>
      </c>
      <c r="I35" s="7">
        <f>INDEX(Monsters!$O:$O,MATCH($B35,Monsters!$B:$B,0))</f>
      </c>
      <c r="J35" s="0">
        <f>INDEX(Monsters!$D:$D,MATCH($B35,Monsters!$B:$B,0))</f>
      </c>
      <c r="K35" s="0">
        <f>INDEX(Areas!$C:$C,MATCH($A35,Areas!$B:$B,0))</f>
      </c>
      <c r="L35" s="0">
        <f>K35-J35</f>
      </c>
    </row>
    <row r="36">
      <c r="A36" s="0" t="inlineStr">
        <is>
          <t xml:space="preserve">Cull Hazard</t>
        </is>
      </c>
      <c r="B36" s="0" t="inlineStr">
        <is>
          <t xml:space="preserve">WYVERN</t>
        </is>
      </c>
      <c r="C36" s="0">
        <v>5</v>
      </c>
      <c r="D36" s="0">
        <f>INDEX(Monsters!$E:$E,MATCH($B36,Monsters!$B:$B,0))</f>
      </c>
      <c r="E36" s="0">
        <f>INDEX(Monsters!$F:$F,MATCH($B36,Monsters!$B:$B,0))</f>
      </c>
      <c r="F36" s="0">
        <f>INDEX(Monsters!$G:$G,MATCH($B36,Monsters!$B:$B,0))</f>
      </c>
      <c r="G36" s="0">
        <f>INDEX(Monsters!$H:$H,MATCH($B36,Monsters!$B:$B,0))</f>
      </c>
      <c r="H36" s="0">
        <f>INDEX(Monsters!$I:$I,MATCH($B36,Monsters!$B:$B,0))</f>
      </c>
      <c r="I36" s="7">
        <f>INDEX(Monsters!$O:$O,MATCH($B36,Monsters!$B:$B,0))</f>
      </c>
      <c r="J36" s="0">
        <f>INDEX(Monsters!$D:$D,MATCH($B36,Monsters!$B:$B,0))</f>
      </c>
      <c r="K36" s="0">
        <f>INDEX(Areas!$C:$C,MATCH($A36,Areas!$B:$B,0))</f>
      </c>
      <c r="L36" s="0">
        <f>K36-J36</f>
      </c>
    </row>
    <row r="37">
      <c r="A37" s="0" t="inlineStr">
        <is>
          <t xml:space="preserve">Cull Hazard</t>
        </is>
      </c>
      <c r="B37" s="0" t="inlineStr">
        <is>
          <t xml:space="preserve">SKELEBAT</t>
        </is>
      </c>
      <c r="C37" s="0">
        <v>6</v>
      </c>
      <c r="D37" s="0">
        <f>INDEX(Monsters!$E:$E,MATCH($B37,Monsters!$B:$B,0))</f>
      </c>
      <c r="E37" s="0">
        <f>INDEX(Monsters!$F:$F,MATCH($B37,Monsters!$B:$B,0))</f>
      </c>
      <c r="F37" s="0">
        <f>INDEX(Monsters!$G:$G,MATCH($B37,Monsters!$B:$B,0))</f>
      </c>
      <c r="G37" s="0">
        <f>INDEX(Monsters!$H:$H,MATCH($B37,Monsters!$B:$B,0))</f>
      </c>
      <c r="H37" s="0">
        <f>INDEX(Monsters!$I:$I,MATCH($B37,Monsters!$B:$B,0))</f>
      </c>
      <c r="I37" s="7">
        <f>INDEX(Monsters!$O:$O,MATCH($B37,Monsters!$B:$B,0))</f>
      </c>
      <c r="J37" s="0">
        <f>INDEX(Monsters!$D:$D,MATCH($B37,Monsters!$B:$B,0))</f>
      </c>
      <c r="K37" s="0">
        <f>INDEX(Areas!$C:$C,MATCH($A37,Areas!$B:$B,0))</f>
      </c>
      <c r="L37" s="0">
        <f>K37-J37</f>
      </c>
    </row>
    <row r="38">
      <c r="A38" s="0" t="inlineStr">
        <is>
          <t xml:space="preserve">Cull Hazard</t>
        </is>
      </c>
      <c r="B38" s="0" t="inlineStr">
        <is>
          <t xml:space="preserve">BLOOD JELL</t>
        </is>
      </c>
      <c r="C38" s="0">
        <v>8</v>
      </c>
      <c r="D38" s="0">
        <f>INDEX(Monsters!$E:$E,MATCH($B38,Monsters!$B:$B,0))</f>
      </c>
      <c r="E38" s="0">
        <f>INDEX(Monsters!$F:$F,MATCH($B38,Monsters!$B:$B,0))</f>
      </c>
      <c r="F38" s="0">
        <f>INDEX(Monsters!$G:$G,MATCH($B38,Monsters!$B:$B,0))</f>
      </c>
      <c r="G38" s="0">
        <f>INDEX(Monsters!$H:$H,MATCH($B38,Monsters!$B:$B,0))</f>
      </c>
      <c r="H38" s="0">
        <f>INDEX(Monsters!$I:$I,MATCH($B38,Monsters!$B:$B,0))</f>
      </c>
      <c r="I38" s="7">
        <f>INDEX(Monsters!$O:$O,MATCH($B38,Monsters!$B:$B,0))</f>
      </c>
      <c r="J38" s="0">
        <f>INDEX(Monsters!$D:$D,MATCH($B38,Monsters!$B:$B,0))</f>
      </c>
      <c r="K38" s="0">
        <f>INDEX(Areas!$C:$C,MATCH($A38,Areas!$B:$B,0))</f>
      </c>
      <c r="L38" s="0">
        <f>K38-J38</f>
      </c>
    </row>
    <row r="39">
      <c r="A39" s="0" t="inlineStr">
        <is>
          <t xml:space="preserve">East Limelin</t>
        </is>
      </c>
      <c r="B39" s="0" t="inlineStr">
        <is>
          <t xml:space="preserve">SCARE CROW</t>
        </is>
      </c>
      <c r="C39" s="0">
        <v>4</v>
      </c>
      <c r="D39" s="0">
        <f>INDEX(Monsters!$E:$E,MATCH($B39,Monsters!$B:$B,0))</f>
      </c>
      <c r="E39" s="0">
        <f>INDEX(Monsters!$F:$F,MATCH($B39,Monsters!$B:$B,0))</f>
      </c>
      <c r="F39" s="0">
        <f>INDEX(Monsters!$G:$G,MATCH($B39,Monsters!$B:$B,0))</f>
      </c>
      <c r="G39" s="0">
        <f>INDEX(Monsters!$H:$H,MATCH($B39,Monsters!$B:$B,0))</f>
      </c>
      <c r="H39" s="0">
        <f>INDEX(Monsters!$I:$I,MATCH($B39,Monsters!$B:$B,0))</f>
      </c>
      <c r="I39" s="7">
        <f>INDEX(Monsters!$O:$O,MATCH($B39,Monsters!$B:$B,0))</f>
      </c>
      <c r="J39" s="0">
        <f>INDEX(Monsters!$D:$D,MATCH($B39,Monsters!$B:$B,0))</f>
      </c>
      <c r="K39" s="0">
        <f>INDEX(Areas!$C:$C,MATCH($A39,Areas!$B:$B,0))</f>
      </c>
      <c r="L39" s="0">
        <f>K39-J39</f>
      </c>
    </row>
    <row r="40">
      <c r="A40" s="0" t="inlineStr">
        <is>
          <t xml:space="preserve">East Limelin</t>
        </is>
      </c>
      <c r="B40" s="0" t="inlineStr">
        <is>
          <t xml:space="preserve">WYVERN</t>
        </is>
      </c>
      <c r="C40" s="0">
        <v>5</v>
      </c>
      <c r="D40" s="0">
        <f>INDEX(Monsters!$E:$E,MATCH($B40,Monsters!$B:$B,0))</f>
      </c>
      <c r="E40" s="0">
        <f>INDEX(Monsters!$F:$F,MATCH($B40,Monsters!$B:$B,0))</f>
      </c>
      <c r="F40" s="0">
        <f>INDEX(Monsters!$G:$G,MATCH($B40,Monsters!$B:$B,0))</f>
      </c>
      <c r="G40" s="0">
        <f>INDEX(Monsters!$H:$H,MATCH($B40,Monsters!$B:$B,0))</f>
      </c>
      <c r="H40" s="0">
        <f>INDEX(Monsters!$I:$I,MATCH($B40,Monsters!$B:$B,0))</f>
      </c>
      <c r="I40" s="7">
        <f>INDEX(Monsters!$O:$O,MATCH($B40,Monsters!$B:$B,0))</f>
      </c>
      <c r="J40" s="0">
        <f>INDEX(Monsters!$D:$D,MATCH($B40,Monsters!$B:$B,0))</f>
      </c>
      <c r="K40" s="0">
        <f>INDEX(Areas!$C:$C,MATCH($A40,Areas!$B:$B,0))</f>
      </c>
      <c r="L40" s="0">
        <f>K40-J40</f>
      </c>
    </row>
    <row r="41">
      <c r="A41" s="0" t="inlineStr">
        <is>
          <t xml:space="preserve">East Limelin</t>
        </is>
      </c>
      <c r="B41" s="0" t="inlineStr">
        <is>
          <t xml:space="preserve">CRYSHELL</t>
        </is>
      </c>
      <c r="C41" s="0">
        <v>7</v>
      </c>
      <c r="D41" s="0">
        <f>INDEX(Monsters!$E:$E,MATCH($B41,Monsters!$B:$B,0))</f>
      </c>
      <c r="E41" s="0">
        <f>INDEX(Monsters!$F:$F,MATCH($B41,Monsters!$B:$B,0))</f>
      </c>
      <c r="F41" s="0">
        <f>INDEX(Monsters!$G:$G,MATCH($B41,Monsters!$B:$B,0))</f>
      </c>
      <c r="G41" s="0">
        <f>INDEX(Monsters!$H:$H,MATCH($B41,Monsters!$B:$B,0))</f>
      </c>
      <c r="H41" s="0">
        <f>INDEX(Monsters!$I:$I,MATCH($B41,Monsters!$B:$B,0))</f>
      </c>
      <c r="I41" s="7">
        <f>INDEX(Monsters!$O:$O,MATCH($B41,Monsters!$B:$B,0))</f>
      </c>
      <c r="J41" s="0">
        <f>INDEX(Monsters!$D:$D,MATCH($B41,Monsters!$B:$B,0))</f>
      </c>
      <c r="K41" s="0">
        <f>INDEX(Areas!$C:$C,MATCH($A41,Areas!$B:$B,0))</f>
      </c>
      <c r="L41" s="0">
        <f>K41-J41</f>
      </c>
    </row>
    <row r="42">
      <c r="A42" s="0" t="inlineStr">
        <is>
          <t xml:space="preserve">East Limelin</t>
        </is>
      </c>
      <c r="B42" s="0" t="inlineStr">
        <is>
          <t xml:space="preserve">BLOOD JELL</t>
        </is>
      </c>
      <c r="C42" s="0">
        <v>8</v>
      </c>
      <c r="D42" s="0">
        <f>INDEX(Monsters!$E:$E,MATCH($B42,Monsters!$B:$B,0))</f>
      </c>
      <c r="E42" s="0">
        <f>INDEX(Monsters!$F:$F,MATCH($B42,Monsters!$B:$B,0))</f>
      </c>
      <c r="F42" s="0">
        <f>INDEX(Monsters!$G:$G,MATCH($B42,Monsters!$B:$B,0))</f>
      </c>
      <c r="G42" s="0">
        <f>INDEX(Monsters!$H:$H,MATCH($B42,Monsters!$B:$B,0))</f>
      </c>
      <c r="H42" s="0">
        <f>INDEX(Monsters!$I:$I,MATCH($B42,Monsters!$B:$B,0))</f>
      </c>
      <c r="I42" s="7">
        <f>INDEX(Monsters!$O:$O,MATCH($B42,Monsters!$B:$B,0))</f>
      </c>
      <c r="J42" s="0">
        <f>INDEX(Monsters!$D:$D,MATCH($B42,Monsters!$B:$B,0))</f>
      </c>
      <c r="K42" s="0">
        <f>INDEX(Areas!$C:$C,MATCH($A42,Areas!$B:$B,0))</f>
      </c>
      <c r="L42" s="0">
        <f>K42-J42</f>
      </c>
    </row>
    <row r="43">
      <c r="A43" s="0" t="inlineStr">
        <is>
          <t xml:space="preserve">East Limelin</t>
        </is>
      </c>
      <c r="B43" s="0" t="inlineStr">
        <is>
          <t xml:space="preserve">CATERPILLAR</t>
        </is>
      </c>
      <c r="C43" s="0">
        <v>9</v>
      </c>
      <c r="D43" s="0">
        <f>INDEX(Monsters!$E:$E,MATCH($B43,Monsters!$B:$B,0))</f>
      </c>
      <c r="E43" s="0">
        <f>INDEX(Monsters!$F:$F,MATCH($B43,Monsters!$B:$B,0))</f>
      </c>
      <c r="F43" s="0">
        <f>INDEX(Monsters!$G:$G,MATCH($B43,Monsters!$B:$B,0))</f>
      </c>
      <c r="G43" s="0">
        <f>INDEX(Monsters!$H:$H,MATCH($B43,Monsters!$B:$B,0))</f>
      </c>
      <c r="H43" s="0">
        <f>INDEX(Monsters!$I:$I,MATCH($B43,Monsters!$B:$B,0))</f>
      </c>
      <c r="I43" s="7">
        <f>INDEX(Monsters!$O:$O,MATCH($B43,Monsters!$B:$B,0))</f>
      </c>
      <c r="J43" s="0">
        <f>INDEX(Monsters!$D:$D,MATCH($B43,Monsters!$B:$B,0))</f>
      </c>
      <c r="K43" s="0">
        <f>INDEX(Areas!$C:$C,MATCH($A43,Areas!$B:$B,0))</f>
      </c>
      <c r="L43" s="0">
        <f>K43-J43</f>
      </c>
    </row>
    <row r="44">
      <c r="A44" s="0" t="inlineStr">
        <is>
          <t xml:space="preserve">East Limelin</t>
        </is>
      </c>
      <c r="B44" s="0" t="inlineStr">
        <is>
          <t xml:space="preserve">FISH MAN</t>
        </is>
      </c>
      <c r="C44" s="0">
        <v>10</v>
      </c>
      <c r="D44" s="0">
        <f>INDEX(Monsters!$E:$E,MATCH($B44,Monsters!$B:$B,0))</f>
      </c>
      <c r="E44" s="0">
        <f>INDEX(Monsters!$F:$F,MATCH($B44,Monsters!$B:$B,0))</f>
      </c>
      <c r="F44" s="0">
        <f>INDEX(Monsters!$G:$G,MATCH($B44,Monsters!$B:$B,0))</f>
      </c>
      <c r="G44" s="0">
        <f>INDEX(Monsters!$H:$H,MATCH($B44,Monsters!$B:$B,0))</f>
      </c>
      <c r="H44" s="0">
        <f>INDEX(Monsters!$I:$I,MATCH($B44,Monsters!$B:$B,0))</f>
      </c>
      <c r="I44" s="7">
        <f>INDEX(Monsters!$O:$O,MATCH($B44,Monsters!$B:$B,0))</f>
      </c>
      <c r="J44" s="0">
        <f>INDEX(Monsters!$D:$D,MATCH($B44,Monsters!$B:$B,0))</f>
      </c>
      <c r="K44" s="0">
        <f>INDEX(Areas!$C:$C,MATCH($A44,Areas!$B:$B,0))</f>
      </c>
      <c r="L44" s="0">
        <f>K44-J44</f>
      </c>
    </row>
    <row r="45">
      <c r="A45" s="0" t="inlineStr">
        <is>
          <t xml:space="preserve">Windward Forest</t>
        </is>
      </c>
      <c r="B45" s="0" t="inlineStr">
        <is>
          <t xml:space="preserve">ORK</t>
        </is>
      </c>
      <c r="C45" s="0">
        <v>0</v>
      </c>
      <c r="D45" s="0">
        <f>INDEX(Monsters!$E:$E,MATCH($B45,Monsters!$B:$B,0))</f>
      </c>
      <c r="E45" s="0">
        <f>INDEX(Monsters!$F:$F,MATCH($B45,Monsters!$B:$B,0))</f>
      </c>
      <c r="F45" s="0">
        <f>INDEX(Monsters!$G:$G,MATCH($B45,Monsters!$B:$B,0))</f>
      </c>
      <c r="G45" s="0">
        <f>INDEX(Monsters!$H:$H,MATCH($B45,Monsters!$B:$B,0))</f>
      </c>
      <c r="H45" s="0">
        <f>INDEX(Monsters!$I:$I,MATCH($B45,Monsters!$B:$B,0))</f>
      </c>
      <c r="I45" s="7">
        <f>INDEX(Monsters!$O:$O,MATCH($B45,Monsters!$B:$B,0))</f>
      </c>
      <c r="J45" s="0">
        <f>INDEX(Monsters!$D:$D,MATCH($B45,Monsters!$B:$B,0))</f>
      </c>
      <c r="K45" s="0">
        <f>INDEX(Areas!$C:$C,MATCH($A45,Areas!$B:$B,0))</f>
      </c>
      <c r="L45" s="0">
        <f>K45-J45</f>
      </c>
    </row>
    <row r="46">
      <c r="A46" s="0" t="inlineStr">
        <is>
          <t xml:space="preserve">Windward Forest</t>
        </is>
      </c>
      <c r="B46" s="0" t="inlineStr">
        <is>
          <t xml:space="preserve">JACK-O'-LANTERN</t>
        </is>
      </c>
      <c r="C46" s="0">
        <v>4</v>
      </c>
      <c r="D46" s="0">
        <f>INDEX(Monsters!$E:$E,MATCH($B46,Monsters!$B:$B,0))</f>
      </c>
      <c r="E46" s="0">
        <f>INDEX(Monsters!$F:$F,MATCH($B46,Monsters!$B:$B,0))</f>
      </c>
      <c r="F46" s="0">
        <f>INDEX(Monsters!$G:$G,MATCH($B46,Monsters!$B:$B,0))</f>
      </c>
      <c r="G46" s="0">
        <f>INDEX(Monsters!$H:$H,MATCH($B46,Monsters!$B:$B,0))</f>
      </c>
      <c r="H46" s="0">
        <f>INDEX(Monsters!$I:$I,MATCH($B46,Monsters!$B:$B,0))</f>
      </c>
      <c r="I46" s="7">
        <f>INDEX(Monsters!$O:$O,MATCH($B46,Monsters!$B:$B,0))</f>
      </c>
      <c r="J46" s="0">
        <f>INDEX(Monsters!$D:$D,MATCH($B46,Monsters!$B:$B,0))</f>
      </c>
      <c r="K46" s="0">
        <f>INDEX(Areas!$C:$C,MATCH($A46,Areas!$B:$B,0))</f>
      </c>
      <c r="L46" s="0">
        <f>K46-J46</f>
      </c>
    </row>
    <row r="47">
      <c r="A47" s="0" t="inlineStr">
        <is>
          <t xml:space="preserve">Windward Forest</t>
        </is>
      </c>
      <c r="B47" s="0" t="inlineStr">
        <is>
          <t xml:space="preserve">ARACHNOID</t>
        </is>
      </c>
      <c r="C47" s="0">
        <v>5</v>
      </c>
      <c r="D47" s="0">
        <f>INDEX(Monsters!$E:$E,MATCH($B47,Monsters!$B:$B,0))</f>
      </c>
      <c r="E47" s="0">
        <f>INDEX(Monsters!$F:$F,MATCH($B47,Monsters!$B:$B,0))</f>
      </c>
      <c r="F47" s="0">
        <f>INDEX(Monsters!$G:$G,MATCH($B47,Monsters!$B:$B,0))</f>
      </c>
      <c r="G47" s="0">
        <f>INDEX(Monsters!$H:$H,MATCH($B47,Monsters!$B:$B,0))</f>
      </c>
      <c r="H47" s="0">
        <f>INDEX(Monsters!$I:$I,MATCH($B47,Monsters!$B:$B,0))</f>
      </c>
      <c r="I47" s="7">
        <f>INDEX(Monsters!$O:$O,MATCH($B47,Monsters!$B:$B,0))</f>
      </c>
      <c r="J47" s="0">
        <f>INDEX(Monsters!$D:$D,MATCH($B47,Monsters!$B:$B,0))</f>
      </c>
      <c r="K47" s="0">
        <f>INDEX(Areas!$C:$C,MATCH($A47,Areas!$B:$B,0))</f>
      </c>
      <c r="L47" s="0">
        <f>K47-J47</f>
      </c>
    </row>
    <row r="48">
      <c r="A48" s="0" t="inlineStr">
        <is>
          <t xml:space="preserve">Windward Forest</t>
        </is>
      </c>
      <c r="B48" s="0" t="inlineStr">
        <is>
          <t xml:space="preserve">LAMIA</t>
        </is>
      </c>
      <c r="C48" s="0">
        <v>6</v>
      </c>
      <c r="D48" s="0">
        <f>INDEX(Monsters!$E:$E,MATCH($B48,Monsters!$B:$B,0))</f>
      </c>
      <c r="E48" s="0">
        <f>INDEX(Monsters!$F:$F,MATCH($B48,Monsters!$B:$B,0))</f>
      </c>
      <c r="F48" s="0">
        <f>INDEX(Monsters!$G:$G,MATCH($B48,Monsters!$B:$B,0))</f>
      </c>
      <c r="G48" s="0">
        <f>INDEX(Monsters!$H:$H,MATCH($B48,Monsters!$B:$B,0))</f>
      </c>
      <c r="H48" s="0">
        <f>INDEX(Monsters!$I:$I,MATCH($B48,Monsters!$B:$B,0))</f>
      </c>
      <c r="I48" s="7">
        <f>INDEX(Monsters!$O:$O,MATCH($B48,Monsters!$B:$B,0))</f>
      </c>
      <c r="J48" s="0">
        <f>INDEX(Monsters!$D:$D,MATCH($B48,Monsters!$B:$B,0))</f>
      </c>
      <c r="K48" s="0">
        <f>INDEX(Areas!$C:$C,MATCH($A48,Areas!$B:$B,0))</f>
      </c>
      <c r="L48" s="0">
        <f>K48-J48</f>
      </c>
    </row>
    <row r="49">
      <c r="A49" s="0" t="inlineStr">
        <is>
          <t xml:space="preserve">Windward Forest</t>
        </is>
      </c>
      <c r="B49" s="0" t="inlineStr">
        <is>
          <t xml:space="preserve">TEMPTRESS</t>
        </is>
      </c>
      <c r="C49" s="0">
        <v>7</v>
      </c>
      <c r="D49" s="0">
        <f>INDEX(Monsters!$E:$E,MATCH($B49,Monsters!$B:$B,0))</f>
      </c>
      <c r="E49" s="0">
        <f>INDEX(Monsters!$F:$F,MATCH($B49,Monsters!$B:$B,0))</f>
      </c>
      <c r="F49" s="0">
        <f>INDEX(Monsters!$G:$G,MATCH($B49,Monsters!$B:$B,0))</f>
      </c>
      <c r="G49" s="0">
        <f>INDEX(Monsters!$H:$H,MATCH($B49,Monsters!$B:$B,0))</f>
      </c>
      <c r="H49" s="0">
        <f>INDEX(Monsters!$I:$I,MATCH($B49,Monsters!$B:$B,0))</f>
      </c>
      <c r="I49" s="7">
        <f>INDEX(Monsters!$O:$O,MATCH($B49,Monsters!$B:$B,0))</f>
      </c>
      <c r="J49" s="0">
        <f>INDEX(Monsters!$D:$D,MATCH($B49,Monsters!$B:$B,0))</f>
      </c>
      <c r="K49" s="0">
        <f>INDEX(Areas!$C:$C,MATCH($A49,Areas!$B:$B,0))</f>
      </c>
      <c r="L49" s="0">
        <f>K49-J49</f>
      </c>
    </row>
    <row r="50">
      <c r="A50" s="0" t="inlineStr">
        <is>
          <t xml:space="preserve">Windward Forest</t>
        </is>
      </c>
      <c r="B50" s="0" t="inlineStr">
        <is>
          <t xml:space="preserve">THUNDER JELL</t>
        </is>
      </c>
      <c r="C50" s="0">
        <v>10</v>
      </c>
      <c r="D50" s="0">
        <f>INDEX(Monsters!$E:$E,MATCH($B50,Monsters!$B:$B,0))</f>
      </c>
      <c r="E50" s="0">
        <f>INDEX(Monsters!$F:$F,MATCH($B50,Monsters!$B:$B,0))</f>
      </c>
      <c r="F50" s="0">
        <f>INDEX(Monsters!$G:$G,MATCH($B50,Monsters!$B:$B,0))</f>
      </c>
      <c r="G50" s="0">
        <f>INDEX(Monsters!$H:$H,MATCH($B50,Monsters!$B:$B,0))</f>
      </c>
      <c r="H50" s="0">
        <f>INDEX(Monsters!$I:$I,MATCH($B50,Monsters!$B:$B,0))</f>
      </c>
      <c r="I50" s="7">
        <f>INDEX(Monsters!$O:$O,MATCH($B50,Monsters!$B:$B,0))</f>
      </c>
      <c r="J50" s="0">
        <f>INDEX(Monsters!$D:$D,MATCH($B50,Monsters!$B:$B,0))</f>
      </c>
      <c r="K50" s="0">
        <f>INDEX(Areas!$C:$C,MATCH($A50,Areas!$B:$B,0))</f>
      </c>
      <c r="L50" s="0">
        <f>K50-J50</f>
      </c>
    </row>
    <row r="51">
      <c r="A51" s="0" t="inlineStr">
        <is>
          <t xml:space="preserve">Windward Forest</t>
        </is>
      </c>
      <c r="B51" s="0" t="inlineStr">
        <is>
          <t xml:space="preserve">TERMANT</t>
        </is>
      </c>
      <c r="C51" s="0">
        <v>11</v>
      </c>
      <c r="D51" s="0">
        <f>INDEX(Monsters!$E:$E,MATCH($B51,Monsters!$B:$B,0))</f>
      </c>
      <c r="E51" s="0">
        <f>INDEX(Monsters!$F:$F,MATCH($B51,Monsters!$B:$B,0))</f>
      </c>
      <c r="F51" s="0">
        <f>INDEX(Monsters!$G:$G,MATCH($B51,Monsters!$B:$B,0))</f>
      </c>
      <c r="G51" s="0">
        <f>INDEX(Monsters!$H:$H,MATCH($B51,Monsters!$B:$B,0))</f>
      </c>
      <c r="H51" s="0">
        <f>INDEX(Monsters!$I:$I,MATCH($B51,Monsters!$B:$B,0))</f>
      </c>
      <c r="I51" s="7">
        <f>INDEX(Monsters!$O:$O,MATCH($B51,Monsters!$B:$B,0))</f>
      </c>
      <c r="J51" s="0">
        <f>INDEX(Monsters!$D:$D,MATCH($B51,Monsters!$B:$B,0))</f>
      </c>
      <c r="K51" s="0">
        <f>INDEX(Areas!$C:$C,MATCH($A51,Areas!$B:$B,0))</f>
      </c>
      <c r="L51" s="0">
        <f>K51-J51</f>
      </c>
    </row>
    <row r="52">
      <c r="A52" s="0" t="inlineStr">
        <is>
          <t xml:space="preserve">Blue Cave</t>
        </is>
      </c>
      <c r="B52" s="0" t="inlineStr">
        <is>
          <t xml:space="preserve">MULTI OPTICS</t>
        </is>
      </c>
      <c r="C52" s="0">
        <v>0</v>
      </c>
      <c r="D52" s="0">
        <f>INDEX(Monsters!$E:$E,MATCH($B52,Monsters!$B:$B,0))</f>
      </c>
      <c r="E52" s="0">
        <f>INDEX(Monsters!$F:$F,MATCH($B52,Monsters!$B:$B,0))</f>
      </c>
      <c r="F52" s="0">
        <f>INDEX(Monsters!$G:$G,MATCH($B52,Monsters!$B:$B,0))</f>
      </c>
      <c r="G52" s="0">
        <f>INDEX(Monsters!$H:$H,MATCH($B52,Monsters!$B:$B,0))</f>
      </c>
      <c r="H52" s="0">
        <f>INDEX(Monsters!$I:$I,MATCH($B52,Monsters!$B:$B,0))</f>
      </c>
      <c r="I52" s="7">
        <f>INDEX(Monsters!$O:$O,MATCH($B52,Monsters!$B:$B,0))</f>
      </c>
      <c r="J52" s="0">
        <f>INDEX(Monsters!$D:$D,MATCH($B52,Monsters!$B:$B,0))</f>
      </c>
      <c r="K52" s="0">
        <f>INDEX(Areas!$C:$C,MATCH($A52,Areas!$B:$B,0))</f>
      </c>
      <c r="L52" s="0">
        <f>K52-J52</f>
      </c>
    </row>
    <row r="53">
      <c r="A53" s="0" t="inlineStr">
        <is>
          <t xml:space="preserve">Blue Cave</t>
        </is>
      </c>
      <c r="B53" s="0" t="inlineStr">
        <is>
          <t xml:space="preserve">MIMIC</t>
        </is>
      </c>
      <c r="C53" s="0">
        <v>1</v>
      </c>
      <c r="D53" s="0">
        <f>INDEX(Monsters!$E:$E,MATCH($B53,Monsters!$B:$B,0))</f>
      </c>
      <c r="E53" s="0">
        <f>INDEX(Monsters!$F:$F,MATCH($B53,Monsters!$B:$B,0))</f>
      </c>
      <c r="F53" s="0">
        <f>INDEX(Monsters!$G:$G,MATCH($B53,Monsters!$B:$B,0))</f>
      </c>
      <c r="G53" s="0">
        <f>INDEX(Monsters!$H:$H,MATCH($B53,Monsters!$B:$B,0))</f>
      </c>
      <c r="H53" s="0">
        <f>INDEX(Monsters!$I:$I,MATCH($B53,Monsters!$B:$B,0))</f>
      </c>
      <c r="I53" s="7">
        <f>INDEX(Monsters!$O:$O,MATCH($B53,Monsters!$B:$B,0))</f>
      </c>
      <c r="J53" s="0">
        <f>INDEX(Monsters!$D:$D,MATCH($B53,Monsters!$B:$B,0))</f>
      </c>
      <c r="K53" s="0">
        <f>INDEX(Areas!$C:$C,MATCH($A53,Areas!$B:$B,0))</f>
      </c>
      <c r="L53" s="0">
        <f>K53-J53</f>
      </c>
    </row>
    <row r="54">
      <c r="A54" s="0" t="inlineStr">
        <is>
          <t xml:space="preserve">Blue Cave</t>
        </is>
      </c>
      <c r="B54" s="0" t="inlineStr">
        <is>
          <t xml:space="preserve">CRAWLER</t>
        </is>
      </c>
      <c r="C54" s="0">
        <v>2</v>
      </c>
      <c r="D54" s="0">
        <f>INDEX(Monsters!$E:$E,MATCH($B54,Monsters!$B:$B,0))</f>
      </c>
      <c r="E54" s="0">
        <f>INDEX(Monsters!$F:$F,MATCH($B54,Monsters!$B:$B,0))</f>
      </c>
      <c r="F54" s="0">
        <f>INDEX(Monsters!$G:$G,MATCH($B54,Monsters!$B:$B,0))</f>
      </c>
      <c r="G54" s="0">
        <f>INDEX(Monsters!$H:$H,MATCH($B54,Monsters!$B:$B,0))</f>
      </c>
      <c r="H54" s="0">
        <f>INDEX(Monsters!$I:$I,MATCH($B54,Monsters!$B:$B,0))</f>
      </c>
      <c r="I54" s="7">
        <f>INDEX(Monsters!$O:$O,MATCH($B54,Monsters!$B:$B,0))</f>
      </c>
      <c r="J54" s="0">
        <f>INDEX(Monsters!$D:$D,MATCH($B54,Monsters!$B:$B,0))</f>
      </c>
      <c r="K54" s="0">
        <f>INDEX(Areas!$C:$C,MATCH($A54,Areas!$B:$B,0))</f>
      </c>
      <c r="L54" s="0">
        <f>K54-J54</f>
      </c>
    </row>
    <row r="55">
      <c r="A55" s="0" t="inlineStr">
        <is>
          <t xml:space="preserve">Blue Cave</t>
        </is>
      </c>
      <c r="B55" s="0" t="inlineStr">
        <is>
          <t xml:space="preserve">SCORPION</t>
        </is>
      </c>
      <c r="C55" s="0">
        <v>3</v>
      </c>
      <c r="D55" s="0">
        <f>INDEX(Monsters!$E:$E,MATCH($B55,Monsters!$B:$B,0))</f>
      </c>
      <c r="E55" s="0">
        <f>INDEX(Monsters!$F:$F,MATCH($B55,Monsters!$B:$B,0))</f>
      </c>
      <c r="F55" s="0">
        <f>INDEX(Monsters!$G:$G,MATCH($B55,Monsters!$B:$B,0))</f>
      </c>
      <c r="G55" s="0">
        <f>INDEX(Monsters!$H:$H,MATCH($B55,Monsters!$B:$B,0))</f>
      </c>
      <c r="H55" s="0">
        <f>INDEX(Monsters!$I:$I,MATCH($B55,Monsters!$B:$B,0))</f>
      </c>
      <c r="I55" s="7">
        <f>INDEX(Monsters!$O:$O,MATCH($B55,Monsters!$B:$B,0))</f>
      </c>
      <c r="J55" s="0">
        <f>INDEX(Monsters!$D:$D,MATCH($B55,Monsters!$B:$B,0))</f>
      </c>
      <c r="K55" s="0">
        <f>INDEX(Areas!$C:$C,MATCH($A55,Areas!$B:$B,0))</f>
      </c>
      <c r="L55" s="0">
        <f>K55-J55</f>
      </c>
    </row>
    <row r="56">
      <c r="A56" s="0" t="inlineStr">
        <is>
          <t xml:space="preserve">Blue Cave</t>
        </is>
      </c>
      <c r="B56" s="0" t="inlineStr">
        <is>
          <t xml:space="preserve">SCARE CROW</t>
        </is>
      </c>
      <c r="C56" s="0">
        <v>4</v>
      </c>
      <c r="D56" s="0">
        <f>INDEX(Monsters!$E:$E,MATCH($B56,Monsters!$B:$B,0))</f>
      </c>
      <c r="E56" s="0">
        <f>INDEX(Monsters!$F:$F,MATCH($B56,Monsters!$B:$B,0))</f>
      </c>
      <c r="F56" s="0">
        <f>INDEX(Monsters!$G:$G,MATCH($B56,Monsters!$B:$B,0))</f>
      </c>
      <c r="G56" s="0">
        <f>INDEX(Monsters!$H:$H,MATCH($B56,Monsters!$B:$B,0))</f>
      </c>
      <c r="H56" s="0">
        <f>INDEX(Monsters!$I:$I,MATCH($B56,Monsters!$B:$B,0))</f>
      </c>
      <c r="I56" s="7">
        <f>INDEX(Monsters!$O:$O,MATCH($B56,Monsters!$B:$B,0))</f>
      </c>
      <c r="J56" s="0">
        <f>INDEX(Monsters!$D:$D,MATCH($B56,Monsters!$B:$B,0))</f>
      </c>
      <c r="K56" s="0">
        <f>INDEX(Areas!$C:$C,MATCH($A56,Areas!$B:$B,0))</f>
      </c>
      <c r="L56" s="0">
        <f>K56-J56</f>
      </c>
    </row>
    <row r="57">
      <c r="A57" s="0" t="inlineStr">
        <is>
          <t xml:space="preserve">Blue Cave</t>
        </is>
      </c>
      <c r="B57" s="0" t="inlineStr">
        <is>
          <t xml:space="preserve">SKELEBAT</t>
        </is>
      </c>
      <c r="C57" s="0">
        <v>6</v>
      </c>
      <c r="D57" s="0">
        <f>INDEX(Monsters!$E:$E,MATCH($B57,Monsters!$B:$B,0))</f>
      </c>
      <c r="E57" s="0">
        <f>INDEX(Monsters!$F:$F,MATCH($B57,Monsters!$B:$B,0))</f>
      </c>
      <c r="F57" s="0">
        <f>INDEX(Monsters!$G:$G,MATCH($B57,Monsters!$B:$B,0))</f>
      </c>
      <c r="G57" s="0">
        <f>INDEX(Monsters!$H:$H,MATCH($B57,Monsters!$B:$B,0))</f>
      </c>
      <c r="H57" s="0">
        <f>INDEX(Monsters!$I:$I,MATCH($B57,Monsters!$B:$B,0))</f>
      </c>
      <c r="I57" s="7">
        <f>INDEX(Monsters!$O:$O,MATCH($B57,Monsters!$B:$B,0))</f>
      </c>
      <c r="J57" s="0">
        <f>INDEX(Monsters!$D:$D,MATCH($B57,Monsters!$B:$B,0))</f>
      </c>
      <c r="K57" s="0">
        <f>INDEX(Areas!$C:$C,MATCH($A57,Areas!$B:$B,0))</f>
      </c>
      <c r="L57" s="0">
        <f>K57-J57</f>
      </c>
    </row>
    <row r="58">
      <c r="A58" s="0" t="inlineStr">
        <is>
          <t xml:space="preserve">Blue Cave</t>
        </is>
      </c>
      <c r="B58" s="0" t="inlineStr">
        <is>
          <t xml:space="preserve">BLOOD JELL</t>
        </is>
      </c>
      <c r="C58" s="0">
        <v>8</v>
      </c>
      <c r="D58" s="0">
        <f>INDEX(Monsters!$E:$E,MATCH($B58,Monsters!$B:$B,0))</f>
      </c>
      <c r="E58" s="0">
        <f>INDEX(Monsters!$F:$F,MATCH($B58,Monsters!$B:$B,0))</f>
      </c>
      <c r="F58" s="0">
        <f>INDEX(Monsters!$G:$G,MATCH($B58,Monsters!$B:$B,0))</f>
      </c>
      <c r="G58" s="0">
        <f>INDEX(Monsters!$H:$H,MATCH($B58,Monsters!$B:$B,0))</f>
      </c>
      <c r="H58" s="0">
        <f>INDEX(Monsters!$I:$I,MATCH($B58,Monsters!$B:$B,0))</f>
      </c>
      <c r="I58" s="7">
        <f>INDEX(Monsters!$O:$O,MATCH($B58,Monsters!$B:$B,0))</f>
      </c>
      <c r="J58" s="0">
        <f>INDEX(Monsters!$D:$D,MATCH($B58,Monsters!$B:$B,0))</f>
      </c>
      <c r="K58" s="0">
        <f>INDEX(Areas!$C:$C,MATCH($A58,Areas!$B:$B,0))</f>
      </c>
      <c r="L58" s="0">
        <f>K58-J58</f>
      </c>
    </row>
    <row r="59">
      <c r="A59" s="0" t="inlineStr">
        <is>
          <t xml:space="preserve">Isle of Skye</t>
        </is>
      </c>
      <c r="B59" s="0" t="inlineStr">
        <is>
          <t xml:space="preserve">PIXIE</t>
        </is>
      </c>
      <c r="C59" s="0">
        <v>8</v>
      </c>
      <c r="D59" s="0">
        <f>INDEX(Monsters!$E:$E,MATCH($B59,Monsters!$B:$B,0))</f>
      </c>
      <c r="E59" s="0">
        <f>INDEX(Monsters!$F:$F,MATCH($B59,Monsters!$B:$B,0))</f>
      </c>
      <c r="F59" s="0">
        <f>INDEX(Monsters!$G:$G,MATCH($B59,Monsters!$B:$B,0))</f>
      </c>
      <c r="G59" s="0">
        <f>INDEX(Monsters!$H:$H,MATCH($B59,Monsters!$B:$B,0))</f>
      </c>
      <c r="H59" s="0">
        <f>INDEX(Monsters!$I:$I,MATCH($B59,Monsters!$B:$B,0))</f>
      </c>
      <c r="I59" s="7">
        <f>INDEX(Monsters!$O:$O,MATCH($B59,Monsters!$B:$B,0))</f>
      </c>
      <c r="J59" s="0">
        <f>INDEX(Monsters!$D:$D,MATCH($B59,Monsters!$B:$B,0))</f>
      </c>
      <c r="K59" s="0">
        <f>INDEX(Areas!$C:$C,MATCH($A59,Areas!$B:$B,0))</f>
      </c>
      <c r="L59" s="0">
        <f>K59-J59</f>
      </c>
    </row>
    <row r="60">
      <c r="A60" s="0" t="inlineStr">
        <is>
          <t xml:space="preserve">Isle of Skye</t>
        </is>
      </c>
      <c r="B60" s="0" t="inlineStr">
        <is>
          <t xml:space="preserve">GRANGACH</t>
        </is>
      </c>
      <c r="C60" s="0">
        <v>9</v>
      </c>
      <c r="D60" s="0">
        <f>INDEX(Monsters!$E:$E,MATCH($B60,Monsters!$B:$B,0))</f>
      </c>
      <c r="E60" s="0">
        <f>INDEX(Monsters!$F:$F,MATCH($B60,Monsters!$B:$B,0))</f>
      </c>
      <c r="F60" s="0">
        <f>INDEX(Monsters!$G:$G,MATCH($B60,Monsters!$B:$B,0))</f>
      </c>
      <c r="G60" s="0">
        <f>INDEX(Monsters!$H:$H,MATCH($B60,Monsters!$B:$B,0))</f>
      </c>
      <c r="H60" s="0">
        <f>INDEX(Monsters!$I:$I,MATCH($B60,Monsters!$B:$B,0))</f>
      </c>
      <c r="I60" s="7">
        <f>INDEX(Monsters!$O:$O,MATCH($B60,Monsters!$B:$B,0))</f>
      </c>
      <c r="J60" s="0">
        <f>INDEX(Monsters!$D:$D,MATCH($B60,Monsters!$B:$B,0))</f>
      </c>
      <c r="K60" s="0">
        <f>INDEX(Areas!$C:$C,MATCH($A60,Areas!$B:$B,0))</f>
      </c>
      <c r="L60" s="0">
        <f>K60-J60</f>
      </c>
    </row>
    <row r="61">
      <c r="A61" s="0" t="inlineStr">
        <is>
          <t xml:space="preserve">Isle of Skye</t>
        </is>
      </c>
      <c r="B61" s="0" t="inlineStr">
        <is>
          <t xml:space="preserve">THUNDER JELL</t>
        </is>
      </c>
      <c r="C61" s="0">
        <v>10</v>
      </c>
      <c r="D61" s="0">
        <f>INDEX(Monsters!$E:$E,MATCH($B61,Monsters!$B:$B,0))</f>
      </c>
      <c r="E61" s="0">
        <f>INDEX(Monsters!$F:$F,MATCH($B61,Monsters!$B:$B,0))</f>
      </c>
      <c r="F61" s="0">
        <f>INDEX(Monsters!$G:$G,MATCH($B61,Monsters!$B:$B,0))</f>
      </c>
      <c r="G61" s="0">
        <f>INDEX(Monsters!$H:$H,MATCH($B61,Monsters!$B:$B,0))</f>
      </c>
      <c r="H61" s="0">
        <f>INDEX(Monsters!$I:$I,MATCH($B61,Monsters!$B:$B,0))</f>
      </c>
      <c r="I61" s="7">
        <f>INDEX(Monsters!$O:$O,MATCH($B61,Monsters!$B:$B,0))</f>
      </c>
      <c r="J61" s="0">
        <f>INDEX(Monsters!$D:$D,MATCH($B61,Monsters!$B:$B,0))</f>
      </c>
      <c r="K61" s="0">
        <f>INDEX(Areas!$C:$C,MATCH($A61,Areas!$B:$B,0))</f>
      </c>
      <c r="L61" s="0">
        <f>K61-J61</f>
      </c>
    </row>
    <row r="62">
      <c r="A62" s="0" t="inlineStr">
        <is>
          <t xml:space="preserve">Isle of Skye</t>
        </is>
      </c>
      <c r="B62" s="0" t="inlineStr">
        <is>
          <t xml:space="preserve">TERMANT</t>
        </is>
      </c>
      <c r="C62" s="0">
        <v>11</v>
      </c>
      <c r="D62" s="0">
        <f>INDEX(Monsters!$E:$E,MATCH($B62,Monsters!$B:$B,0))</f>
      </c>
      <c r="E62" s="0">
        <f>INDEX(Monsters!$F:$F,MATCH($B62,Monsters!$B:$B,0))</f>
      </c>
      <c r="F62" s="0">
        <f>INDEX(Monsters!$G:$G,MATCH($B62,Monsters!$B:$B,0))</f>
      </c>
      <c r="G62" s="0">
        <f>INDEX(Monsters!$H:$H,MATCH($B62,Monsters!$B:$B,0))</f>
      </c>
      <c r="H62" s="0">
        <f>INDEX(Monsters!$I:$I,MATCH($B62,Monsters!$B:$B,0))</f>
      </c>
      <c r="I62" s="7">
        <f>INDEX(Monsters!$O:$O,MATCH($B62,Monsters!$B:$B,0))</f>
      </c>
      <c r="J62" s="0">
        <f>INDEX(Monsters!$D:$D,MATCH($B62,Monsters!$B:$B,0))</f>
      </c>
      <c r="K62" s="0">
        <f>INDEX(Areas!$C:$C,MATCH($A62,Areas!$B:$B,0))</f>
      </c>
      <c r="L62" s="0">
        <f>K62-J62</f>
      </c>
    </row>
    <row r="63">
      <c r="A63" s="0" t="inlineStr">
        <is>
          <t xml:space="preserve">Baragoon Tunnel</t>
        </is>
      </c>
      <c r="B63" s="0" t="inlineStr">
        <is>
          <t xml:space="preserve">GHOST</t>
        </is>
      </c>
      <c r="C63" s="0">
        <v>1</v>
      </c>
      <c r="D63" s="0">
        <f>INDEX(Monsters!$E:$E,MATCH($B63,Monsters!$B:$B,0))</f>
      </c>
      <c r="E63" s="0">
        <f>INDEX(Monsters!$F:$F,MATCH($B63,Monsters!$B:$B,0))</f>
      </c>
      <c r="F63" s="0">
        <f>INDEX(Monsters!$G:$G,MATCH($B63,Monsters!$B:$B,0))</f>
      </c>
      <c r="G63" s="0">
        <f>INDEX(Monsters!$H:$H,MATCH($B63,Monsters!$B:$B,0))</f>
      </c>
      <c r="H63" s="0">
        <f>INDEX(Monsters!$I:$I,MATCH($B63,Monsters!$B:$B,0))</f>
      </c>
      <c r="I63" s="7">
        <f>INDEX(Monsters!$O:$O,MATCH($B63,Monsters!$B:$B,0))</f>
      </c>
      <c r="J63" s="0">
        <f>INDEX(Monsters!$D:$D,MATCH($B63,Monsters!$B:$B,0))</f>
      </c>
      <c r="K63" s="0">
        <f>INDEX(Areas!$C:$C,MATCH($A63,Areas!$B:$B,0))</f>
      </c>
      <c r="L63" s="0">
        <f>K63-J63</f>
      </c>
    </row>
    <row r="64">
      <c r="A64" s="0" t="inlineStr">
        <is>
          <t xml:space="preserve">Baragoon Tunnel</t>
        </is>
      </c>
      <c r="B64" s="0" t="inlineStr">
        <is>
          <t xml:space="preserve">WILL-O'-WISP</t>
        </is>
      </c>
      <c r="C64" s="0">
        <v>2</v>
      </c>
      <c r="D64" s="0">
        <f>INDEX(Monsters!$E:$E,MATCH($B64,Monsters!$B:$B,0))</f>
      </c>
      <c r="E64" s="0">
        <f>INDEX(Monsters!$F:$F,MATCH($B64,Monsters!$B:$B,0))</f>
      </c>
      <c r="F64" s="0">
        <f>INDEX(Monsters!$G:$G,MATCH($B64,Monsters!$B:$B,0))</f>
      </c>
      <c r="G64" s="0">
        <f>INDEX(Monsters!$H:$H,MATCH($B64,Monsters!$B:$B,0))</f>
      </c>
      <c r="H64" s="0">
        <f>INDEX(Monsters!$I:$I,MATCH($B64,Monsters!$B:$B,0))</f>
      </c>
      <c r="I64" s="7">
        <f>INDEX(Monsters!$O:$O,MATCH($B64,Monsters!$B:$B,0))</f>
      </c>
      <c r="J64" s="0">
        <f>INDEX(Monsters!$D:$D,MATCH($B64,Monsters!$B:$B,0))</f>
      </c>
      <c r="K64" s="0">
        <f>INDEX(Areas!$C:$C,MATCH($A64,Areas!$B:$B,0))</f>
      </c>
      <c r="L64" s="0">
        <f>K64-J64</f>
      </c>
    </row>
    <row r="65">
      <c r="A65" s="0" t="inlineStr">
        <is>
          <t xml:space="preserve">Baragoon Tunnel</t>
        </is>
      </c>
      <c r="B65" s="0" t="inlineStr">
        <is>
          <t xml:space="preserve">SPRITE</t>
        </is>
      </c>
      <c r="C65" s="0">
        <v>3</v>
      </c>
      <c r="D65" s="0">
        <f>INDEX(Monsters!$E:$E,MATCH($B65,Monsters!$B:$B,0))</f>
      </c>
      <c r="E65" s="0">
        <f>INDEX(Monsters!$F:$F,MATCH($B65,Monsters!$B:$B,0))</f>
      </c>
      <c r="F65" s="0">
        <f>INDEX(Monsters!$G:$G,MATCH($B65,Monsters!$B:$B,0))</f>
      </c>
      <c r="G65" s="0">
        <f>INDEX(Monsters!$H:$H,MATCH($B65,Monsters!$B:$B,0))</f>
      </c>
      <c r="H65" s="0">
        <f>INDEX(Monsters!$I:$I,MATCH($B65,Monsters!$B:$B,0))</f>
      </c>
      <c r="I65" s="7">
        <f>INDEX(Monsters!$O:$O,MATCH($B65,Monsters!$B:$B,0))</f>
      </c>
      <c r="J65" s="0">
        <f>INDEX(Monsters!$D:$D,MATCH($B65,Monsters!$B:$B,0))</f>
      </c>
      <c r="K65" s="0">
        <f>INDEX(Areas!$C:$C,MATCH($A65,Areas!$B:$B,0))</f>
      </c>
      <c r="L65" s="0">
        <f>K65-J65</f>
      </c>
    </row>
    <row r="66">
      <c r="A66" s="0" t="inlineStr">
        <is>
          <t xml:space="preserve">Baragoon Tunnel</t>
        </is>
      </c>
      <c r="B66" s="0" t="inlineStr">
        <is>
          <t xml:space="preserve">TERMANT</t>
        </is>
      </c>
      <c r="C66" s="0">
        <v>11</v>
      </c>
      <c r="D66" s="0">
        <f>INDEX(Monsters!$E:$E,MATCH($B66,Monsters!$B:$B,0))</f>
      </c>
      <c r="E66" s="0">
        <f>INDEX(Monsters!$F:$F,MATCH($B66,Monsters!$B:$B,0))</f>
      </c>
      <c r="F66" s="0">
        <f>INDEX(Monsters!$G:$G,MATCH($B66,Monsters!$B:$B,0))</f>
      </c>
      <c r="G66" s="0">
        <f>INDEX(Monsters!$H:$H,MATCH($B66,Monsters!$B:$B,0))</f>
      </c>
      <c r="H66" s="0">
        <f>INDEX(Monsters!$I:$I,MATCH($B66,Monsters!$B:$B,0))</f>
      </c>
      <c r="I66" s="7">
        <f>INDEX(Monsters!$O:$O,MATCH($B66,Monsters!$B:$B,0))</f>
      </c>
      <c r="J66" s="0">
        <f>INDEX(Monsters!$D:$D,MATCH($B66,Monsters!$B:$B,0))</f>
      </c>
      <c r="K66" s="0">
        <f>INDEX(Areas!$C:$C,MATCH($A66,Areas!$B:$B,0))</f>
      </c>
      <c r="L66" s="0">
        <f>K66-J66</f>
      </c>
    </row>
    <row r="67">
      <c r="A67" s="0" t="inlineStr">
        <is>
          <t xml:space="preserve">Dindom Dries</t>
        </is>
      </c>
      <c r="B67" s="0" t="inlineStr">
        <is>
          <t xml:space="preserve">SANDMAN</t>
        </is>
      </c>
      <c r="C67" s="0">
        <v>0</v>
      </c>
      <c r="D67" s="0">
        <f>INDEX(Monsters!$E:$E,MATCH($B67,Monsters!$B:$B,0))</f>
      </c>
      <c r="E67" s="0">
        <f>INDEX(Monsters!$F:$F,MATCH($B67,Monsters!$B:$B,0))</f>
      </c>
      <c r="F67" s="0">
        <f>INDEX(Monsters!$G:$G,MATCH($B67,Monsters!$B:$B,0))</f>
      </c>
      <c r="G67" s="0">
        <f>INDEX(Monsters!$H:$H,MATCH($B67,Monsters!$B:$B,0))</f>
      </c>
      <c r="H67" s="0">
        <f>INDEX(Monsters!$I:$I,MATCH($B67,Monsters!$B:$B,0))</f>
      </c>
      <c r="I67" s="7">
        <f>INDEX(Monsters!$O:$O,MATCH($B67,Monsters!$B:$B,0))</f>
      </c>
      <c r="J67" s="0">
        <f>INDEX(Monsters!$D:$D,MATCH($B67,Monsters!$B:$B,0))</f>
      </c>
      <c r="K67" s="0">
        <f>INDEX(Areas!$C:$C,MATCH($A67,Areas!$B:$B,0))</f>
      </c>
      <c r="L67" s="0">
        <f>K67-J67</f>
      </c>
    </row>
    <row r="68">
      <c r="A68" s="0" t="inlineStr">
        <is>
          <t xml:space="preserve">Dindom Dries</t>
        </is>
      </c>
      <c r="B68" s="0" t="inlineStr">
        <is>
          <t xml:space="preserve">WERE CAT</t>
        </is>
      </c>
      <c r="C68" s="0">
        <v>1</v>
      </c>
      <c r="D68" s="0">
        <f>INDEX(Monsters!$E:$E,MATCH($B68,Monsters!$B:$B,0))</f>
      </c>
      <c r="E68" s="0">
        <f>INDEX(Monsters!$F:$F,MATCH($B68,Monsters!$B:$B,0))</f>
      </c>
      <c r="F68" s="0">
        <f>INDEX(Monsters!$G:$G,MATCH($B68,Monsters!$B:$B,0))</f>
      </c>
      <c r="G68" s="0">
        <f>INDEX(Monsters!$H:$H,MATCH($B68,Monsters!$B:$B,0))</f>
      </c>
      <c r="H68" s="0">
        <f>INDEX(Monsters!$I:$I,MATCH($B68,Monsters!$B:$B,0))</f>
      </c>
      <c r="I68" s="7">
        <f>INDEX(Monsters!$O:$O,MATCH($B68,Monsters!$B:$B,0))</f>
      </c>
      <c r="J68" s="0">
        <f>INDEX(Monsters!$D:$D,MATCH($B68,Monsters!$B:$B,0))</f>
      </c>
      <c r="K68" s="0">
        <f>INDEX(Areas!$C:$C,MATCH($A68,Areas!$B:$B,0))</f>
      </c>
      <c r="L68" s="0">
        <f>K68-J68</f>
      </c>
    </row>
    <row r="69">
      <c r="A69" s="0" t="inlineStr">
        <is>
          <t xml:space="preserve">Dindom Dries</t>
        </is>
      </c>
      <c r="B69" s="0" t="inlineStr">
        <is>
          <t xml:space="preserve">NIGHTMARE</t>
        </is>
      </c>
      <c r="C69" s="0">
        <v>2</v>
      </c>
      <c r="D69" s="0">
        <f>INDEX(Monsters!$E:$E,MATCH($B69,Monsters!$B:$B,0))</f>
      </c>
      <c r="E69" s="0">
        <f>INDEX(Monsters!$F:$F,MATCH($B69,Monsters!$B:$B,0))</f>
      </c>
      <c r="F69" s="0">
        <f>INDEX(Monsters!$G:$G,MATCH($B69,Monsters!$B:$B,0))</f>
      </c>
      <c r="G69" s="0">
        <f>INDEX(Monsters!$H:$H,MATCH($B69,Monsters!$B:$B,0))</f>
      </c>
      <c r="H69" s="0">
        <f>INDEX(Monsters!$I:$I,MATCH($B69,Monsters!$B:$B,0))</f>
      </c>
      <c r="I69" s="7">
        <f>INDEX(Monsters!$O:$O,MATCH($B69,Monsters!$B:$B,0))</f>
      </c>
      <c r="J69" s="0">
        <f>INDEX(Monsters!$D:$D,MATCH($B69,Monsters!$B:$B,0))</f>
      </c>
      <c r="K69" s="0">
        <f>INDEX(Areas!$C:$C,MATCH($A69,Areas!$B:$B,0))</f>
      </c>
      <c r="L69" s="0">
        <f>K69-J69</f>
      </c>
    </row>
    <row r="70">
      <c r="A70" s="0" t="inlineStr">
        <is>
          <t xml:space="preserve">Dindom Dries</t>
        </is>
      </c>
      <c r="B70" s="0" t="inlineStr">
        <is>
          <t xml:space="preserve">BLUE MAN</t>
        </is>
      </c>
      <c r="C70" s="0">
        <v>3</v>
      </c>
      <c r="D70" s="0">
        <f>INDEX(Monsters!$E:$E,MATCH($B70,Monsters!$B:$B,0))</f>
      </c>
      <c r="E70" s="0">
        <f>INDEX(Monsters!$F:$F,MATCH($B70,Monsters!$B:$B,0))</f>
      </c>
      <c r="F70" s="0">
        <f>INDEX(Monsters!$G:$G,MATCH($B70,Monsters!$B:$B,0))</f>
      </c>
      <c r="G70" s="0">
        <f>INDEX(Monsters!$H:$H,MATCH($B70,Monsters!$B:$B,0))</f>
      </c>
      <c r="H70" s="0">
        <f>INDEX(Monsters!$I:$I,MATCH($B70,Monsters!$B:$B,0))</f>
      </c>
      <c r="I70" s="7">
        <f>INDEX(Monsters!$O:$O,MATCH($B70,Monsters!$B:$B,0))</f>
      </c>
      <c r="J70" s="0">
        <f>INDEX(Monsters!$D:$D,MATCH($B70,Monsters!$B:$B,0))</f>
      </c>
      <c r="K70" s="0">
        <f>INDEX(Areas!$C:$C,MATCH($A70,Areas!$B:$B,0))</f>
      </c>
      <c r="L70" s="0">
        <f>K70-J70</f>
      </c>
    </row>
    <row r="71">
      <c r="A71" s="0" t="inlineStr">
        <is>
          <t xml:space="preserve">Dindom Dries</t>
        </is>
      </c>
      <c r="B71" s="0" t="inlineStr">
        <is>
          <t xml:space="preserve">MAGMA FISH</t>
        </is>
      </c>
      <c r="C71" s="0">
        <v>10</v>
      </c>
      <c r="D71" s="0">
        <f>INDEX(Monsters!$E:$E,MATCH($B71,Monsters!$B:$B,0))</f>
      </c>
      <c r="E71" s="0">
        <f>INDEX(Monsters!$F:$F,MATCH($B71,Monsters!$B:$B,0))</f>
      </c>
      <c r="F71" s="0">
        <f>INDEX(Monsters!$G:$G,MATCH($B71,Monsters!$B:$B,0))</f>
      </c>
      <c r="G71" s="0">
        <f>INDEX(Monsters!$H:$H,MATCH($B71,Monsters!$B:$B,0))</f>
      </c>
      <c r="H71" s="0">
        <f>INDEX(Monsters!$I:$I,MATCH($B71,Monsters!$B:$B,0))</f>
      </c>
      <c r="I71" s="7">
        <f>INDEX(Monsters!$O:$O,MATCH($B71,Monsters!$B:$B,0))</f>
      </c>
      <c r="J71" s="0">
        <f>INDEX(Monsters!$D:$D,MATCH($B71,Monsters!$B:$B,0))</f>
      </c>
      <c r="K71" s="0">
        <f>INDEX(Areas!$C:$C,MATCH($A71,Areas!$B:$B,0))</f>
      </c>
      <c r="L71" s="0">
        <f>K71-J71</f>
      </c>
    </row>
    <row r="72">
      <c r="A72" s="0" t="inlineStr">
        <is>
          <t xml:space="preserve">Boil Hole</t>
        </is>
      </c>
      <c r="B72" s="0" t="inlineStr">
        <is>
          <t xml:space="preserve">NIGHTMARE</t>
        </is>
      </c>
      <c r="C72" s="0">
        <v>2</v>
      </c>
      <c r="D72" s="0">
        <f>INDEX(Monsters!$E:$E,MATCH($B72,Monsters!$B:$B,0))</f>
      </c>
      <c r="E72" s="0">
        <f>INDEX(Monsters!$F:$F,MATCH($B72,Monsters!$B:$B,0))</f>
      </c>
      <c r="F72" s="0">
        <f>INDEX(Monsters!$G:$G,MATCH($B72,Monsters!$B:$B,0))</f>
      </c>
      <c r="G72" s="0">
        <f>INDEX(Monsters!$H:$H,MATCH($B72,Monsters!$B:$B,0))</f>
      </c>
      <c r="H72" s="0">
        <f>INDEX(Monsters!$I:$I,MATCH($B72,Monsters!$B:$B,0))</f>
      </c>
      <c r="I72" s="7">
        <f>INDEX(Monsters!$O:$O,MATCH($B72,Monsters!$B:$B,0))</f>
      </c>
      <c r="J72" s="0">
        <f>INDEX(Monsters!$D:$D,MATCH($B72,Monsters!$B:$B,0))</f>
      </c>
      <c r="K72" s="0">
        <f>INDEX(Areas!$C:$C,MATCH($A72,Areas!$B:$B,0))</f>
      </c>
      <c r="L72" s="0">
        <f>K72-J72</f>
      </c>
    </row>
    <row r="73">
      <c r="A73" s="0" t="inlineStr">
        <is>
          <t xml:space="preserve">Boil Hole</t>
        </is>
      </c>
      <c r="B73" s="0" t="inlineStr">
        <is>
          <t xml:space="preserve">ROCKY</t>
        </is>
      </c>
      <c r="C73" s="0">
        <v>7</v>
      </c>
      <c r="D73" s="0">
        <f>INDEX(Monsters!$E:$E,MATCH($B73,Monsters!$B:$B,0))</f>
      </c>
      <c r="E73" s="0">
        <f>INDEX(Monsters!$F:$F,MATCH($B73,Monsters!$B:$B,0))</f>
      </c>
      <c r="F73" s="0">
        <f>INDEX(Monsters!$G:$G,MATCH($B73,Monsters!$B:$B,0))</f>
      </c>
      <c r="G73" s="0">
        <f>INDEX(Monsters!$H:$H,MATCH($B73,Monsters!$B:$B,0))</f>
      </c>
      <c r="H73" s="0">
        <f>INDEX(Monsters!$I:$I,MATCH($B73,Monsters!$B:$B,0))</f>
      </c>
      <c r="I73" s="7">
        <f>INDEX(Monsters!$O:$O,MATCH($B73,Monsters!$B:$B,0))</f>
      </c>
      <c r="J73" s="0">
        <f>INDEX(Monsters!$D:$D,MATCH($B73,Monsters!$B:$B,0))</f>
      </c>
      <c r="K73" s="0">
        <f>INDEX(Areas!$C:$C,MATCH($A73,Areas!$B:$B,0))</f>
      </c>
      <c r="L73" s="0">
        <f>K73-J73</f>
      </c>
    </row>
    <row r="74">
      <c r="A74" s="0" t="inlineStr">
        <is>
          <t xml:space="preserve">Boil Hole</t>
        </is>
      </c>
      <c r="B74" s="0" t="inlineStr">
        <is>
          <t xml:space="preserve">RED WYVERN</t>
        </is>
      </c>
      <c r="C74" s="0">
        <v>8</v>
      </c>
      <c r="D74" s="0">
        <f>INDEX(Monsters!$E:$E,MATCH($B74,Monsters!$B:$B,0))</f>
      </c>
      <c r="E74" s="0">
        <f>INDEX(Monsters!$F:$F,MATCH($B74,Monsters!$B:$B,0))</f>
      </c>
      <c r="F74" s="0">
        <f>INDEX(Monsters!$G:$G,MATCH($B74,Monsters!$B:$B,0))</f>
      </c>
      <c r="G74" s="0">
        <f>INDEX(Monsters!$H:$H,MATCH($B74,Monsters!$B:$B,0))</f>
      </c>
      <c r="H74" s="0">
        <f>INDEX(Monsters!$I:$I,MATCH($B74,Monsters!$B:$B,0))</f>
      </c>
      <c r="I74" s="7">
        <f>INDEX(Monsters!$O:$O,MATCH($B74,Monsters!$B:$B,0))</f>
      </c>
      <c r="J74" s="0">
        <f>INDEX(Monsters!$D:$D,MATCH($B74,Monsters!$B:$B,0))</f>
      </c>
      <c r="K74" s="0">
        <f>INDEX(Areas!$C:$C,MATCH($A74,Areas!$B:$B,0))</f>
      </c>
      <c r="L74" s="0">
        <f>K74-J74</f>
      </c>
    </row>
    <row r="75">
      <c r="A75" s="0" t="inlineStr">
        <is>
          <t xml:space="preserve">Boil Hole</t>
        </is>
      </c>
      <c r="B75" s="0" t="inlineStr">
        <is>
          <t xml:space="preserve">FLAMED MANE</t>
        </is>
      </c>
      <c r="C75" s="0">
        <v>9</v>
      </c>
      <c r="D75" s="0">
        <f>INDEX(Monsters!$E:$E,MATCH($B75,Monsters!$B:$B,0))</f>
      </c>
      <c r="E75" s="0">
        <f>INDEX(Monsters!$F:$F,MATCH($B75,Monsters!$B:$B,0))</f>
      </c>
      <c r="F75" s="0">
        <f>INDEX(Monsters!$G:$G,MATCH($B75,Monsters!$B:$B,0))</f>
      </c>
      <c r="G75" s="0">
        <f>INDEX(Monsters!$H:$H,MATCH($B75,Monsters!$B:$B,0))</f>
      </c>
      <c r="H75" s="0">
        <f>INDEX(Monsters!$I:$I,MATCH($B75,Monsters!$B:$B,0))</f>
      </c>
      <c r="I75" s="7">
        <f>INDEX(Monsters!$O:$O,MATCH($B75,Monsters!$B:$B,0))</f>
      </c>
      <c r="J75" s="0">
        <f>INDEX(Monsters!$D:$D,MATCH($B75,Monsters!$B:$B,0))</f>
      </c>
      <c r="K75" s="0">
        <f>INDEX(Areas!$C:$C,MATCH($A75,Areas!$B:$B,0))</f>
      </c>
      <c r="L75" s="0">
        <f>K75-J75</f>
      </c>
    </row>
    <row r="76">
      <c r="A76" s="0" t="inlineStr">
        <is>
          <t xml:space="preserve">Boil Hole</t>
        </is>
      </c>
      <c r="B76" s="0" t="inlineStr">
        <is>
          <t xml:space="preserve">MAGMA FISH</t>
        </is>
      </c>
      <c r="C76" s="0">
        <v>10</v>
      </c>
      <c r="D76" s="0">
        <f>INDEX(Monsters!$E:$E,MATCH($B76,Monsters!$B:$B,0))</f>
      </c>
      <c r="E76" s="0">
        <f>INDEX(Monsters!$F:$F,MATCH($B76,Monsters!$B:$B,0))</f>
      </c>
      <c r="F76" s="0">
        <f>INDEX(Monsters!$G:$G,MATCH($B76,Monsters!$B:$B,0))</f>
      </c>
      <c r="G76" s="0">
        <f>INDEX(Monsters!$H:$H,MATCH($B76,Monsters!$B:$B,0))</f>
      </c>
      <c r="H76" s="0">
        <f>INDEX(Monsters!$I:$I,MATCH($B76,Monsters!$B:$B,0))</f>
      </c>
      <c r="I76" s="7">
        <f>INDEX(Monsters!$O:$O,MATCH($B76,Monsters!$B:$B,0))</f>
      </c>
      <c r="J76" s="0">
        <f>INDEX(Monsters!$D:$D,MATCH($B76,Monsters!$B:$B,0))</f>
      </c>
      <c r="K76" s="0">
        <f>INDEX(Areas!$C:$C,MATCH($A76,Areas!$B:$B,0))</f>
      </c>
      <c r="L76" s="0">
        <f>K76-J76</f>
      </c>
    </row>
    <row r="77">
      <c r="A77" s="0" t="inlineStr">
        <is>
          <t xml:space="preserve">Baragoon Moor</t>
        </is>
      </c>
      <c r="B77" s="0" t="inlineStr">
        <is>
          <t xml:space="preserve">WINGED SUNFISH</t>
        </is>
      </c>
      <c r="C77" s="0">
        <v>4</v>
      </c>
      <c r="D77" s="0">
        <f>INDEX(Monsters!$E:$E,MATCH($B77,Monsters!$B:$B,0))</f>
      </c>
      <c r="E77" s="0">
        <f>INDEX(Monsters!$F:$F,MATCH($B77,Monsters!$B:$B,0))</f>
      </c>
      <c r="F77" s="0">
        <f>INDEX(Monsters!$G:$G,MATCH($B77,Monsters!$B:$B,0))</f>
      </c>
      <c r="G77" s="0">
        <f>INDEX(Monsters!$H:$H,MATCH($B77,Monsters!$B:$B,0))</f>
      </c>
      <c r="H77" s="0">
        <f>INDEX(Monsters!$I:$I,MATCH($B77,Monsters!$B:$B,0))</f>
      </c>
      <c r="I77" s="7">
        <f>INDEX(Monsters!$O:$O,MATCH($B77,Monsters!$B:$B,0))</f>
      </c>
      <c r="J77" s="0">
        <f>INDEX(Monsters!$D:$D,MATCH($B77,Monsters!$B:$B,0))</f>
      </c>
      <c r="K77" s="0">
        <f>INDEX(Areas!$C:$C,MATCH($A77,Areas!$B:$B,0))</f>
      </c>
      <c r="L77" s="0">
        <f>K77-J77</f>
      </c>
    </row>
    <row r="78">
      <c r="A78" s="0" t="inlineStr">
        <is>
          <t xml:space="preserve">Baragoon Moor</t>
        </is>
      </c>
      <c r="B78" s="0" t="inlineStr">
        <is>
          <t xml:space="preserve">GLOOM WING</t>
        </is>
      </c>
      <c r="C78" s="0">
        <v>5</v>
      </c>
      <c r="D78" s="0">
        <f>INDEX(Monsters!$E:$E,MATCH($B78,Monsters!$B:$B,0))</f>
      </c>
      <c r="E78" s="0">
        <f>INDEX(Monsters!$F:$F,MATCH($B78,Monsters!$B:$B,0))</f>
      </c>
      <c r="F78" s="0">
        <f>INDEX(Monsters!$G:$G,MATCH($B78,Monsters!$B:$B,0))</f>
      </c>
      <c r="G78" s="0">
        <f>INDEX(Monsters!$H:$H,MATCH($B78,Monsters!$B:$B,0))</f>
      </c>
      <c r="H78" s="0">
        <f>INDEX(Monsters!$I:$I,MATCH($B78,Monsters!$B:$B,0))</f>
      </c>
      <c r="I78" s="7">
        <f>INDEX(Monsters!$O:$O,MATCH($B78,Monsters!$B:$B,0))</f>
      </c>
      <c r="J78" s="0">
        <f>INDEX(Monsters!$D:$D,MATCH($B78,Monsters!$B:$B,0))</f>
      </c>
      <c r="K78" s="0">
        <f>INDEX(Areas!$C:$C,MATCH($A78,Areas!$B:$B,0))</f>
      </c>
      <c r="L78" s="0">
        <f>K78-J78</f>
      </c>
    </row>
    <row r="79">
      <c r="A79" s="0" t="inlineStr">
        <is>
          <t xml:space="preserve">Baragoon Moor</t>
        </is>
      </c>
      <c r="B79" s="0" t="inlineStr">
        <is>
          <t xml:space="preserve">OGRE</t>
        </is>
      </c>
      <c r="C79" s="0">
        <v>6</v>
      </c>
      <c r="D79" s="0">
        <f>INDEX(Monsters!$E:$E,MATCH($B79,Monsters!$B:$B,0))</f>
      </c>
      <c r="E79" s="0">
        <f>INDEX(Monsters!$F:$F,MATCH($B79,Monsters!$B:$B,0))</f>
      </c>
      <c r="F79" s="0">
        <f>INDEX(Monsters!$G:$G,MATCH($B79,Monsters!$B:$B,0))</f>
      </c>
      <c r="G79" s="0">
        <f>INDEX(Monsters!$H:$H,MATCH($B79,Monsters!$B:$B,0))</f>
      </c>
      <c r="H79" s="0">
        <f>INDEX(Monsters!$I:$I,MATCH($B79,Monsters!$B:$B,0))</f>
      </c>
      <c r="I79" s="7">
        <f>INDEX(Monsters!$O:$O,MATCH($B79,Monsters!$B:$B,0))</f>
      </c>
      <c r="J79" s="0">
        <f>INDEX(Monsters!$D:$D,MATCH($B79,Monsters!$B:$B,0))</f>
      </c>
      <c r="K79" s="0">
        <f>INDEX(Areas!$C:$C,MATCH($A79,Areas!$B:$B,0))</f>
      </c>
      <c r="L79" s="0">
        <f>K79-J79</f>
      </c>
    </row>
    <row r="80">
      <c r="A80" s="0" t="inlineStr">
        <is>
          <t xml:space="preserve">Baragoon Moor</t>
        </is>
      </c>
      <c r="B80" s="0" t="inlineStr">
        <is>
          <t xml:space="preserve">ROCKY</t>
        </is>
      </c>
      <c r="C80" s="0">
        <v>7</v>
      </c>
      <c r="D80" s="0">
        <f>INDEX(Monsters!$E:$E,MATCH($B80,Monsters!$B:$B,0))</f>
      </c>
      <c r="E80" s="0">
        <f>INDEX(Monsters!$F:$F,MATCH($B80,Monsters!$B:$B,0))</f>
      </c>
      <c r="F80" s="0">
        <f>INDEX(Monsters!$G:$G,MATCH($B80,Monsters!$B:$B,0))</f>
      </c>
      <c r="G80" s="0">
        <f>INDEX(Monsters!$H:$H,MATCH($B80,Monsters!$B:$B,0))</f>
      </c>
      <c r="H80" s="0">
        <f>INDEX(Monsters!$I:$I,MATCH($B80,Monsters!$B:$B,0))</f>
      </c>
      <c r="I80" s="7">
        <f>INDEX(Monsters!$O:$O,MATCH($B80,Monsters!$B:$B,0))</f>
      </c>
      <c r="J80" s="0">
        <f>INDEX(Monsters!$D:$D,MATCH($B80,Monsters!$B:$B,0))</f>
      </c>
      <c r="K80" s="0">
        <f>INDEX(Areas!$C:$C,MATCH($A80,Areas!$B:$B,0))</f>
      </c>
      <c r="L80" s="0">
        <f>K80-J80</f>
      </c>
    </row>
    <row r="81">
      <c r="A81" s="0" t="inlineStr">
        <is>
          <t xml:space="preserve">Baragoon Moor</t>
        </is>
      </c>
      <c r="B81" s="0" t="inlineStr">
        <is>
          <t xml:space="preserve">RED WYVERN</t>
        </is>
      </c>
      <c r="C81" s="0">
        <v>8</v>
      </c>
      <c r="D81" s="0">
        <f>INDEX(Monsters!$E:$E,MATCH($B81,Monsters!$B:$B,0))</f>
      </c>
      <c r="E81" s="0">
        <f>INDEX(Monsters!$F:$F,MATCH($B81,Monsters!$B:$B,0))</f>
      </c>
      <c r="F81" s="0">
        <f>INDEX(Monsters!$G:$G,MATCH($B81,Monsters!$B:$B,0))</f>
      </c>
      <c r="G81" s="0">
        <f>INDEX(Monsters!$H:$H,MATCH($B81,Monsters!$B:$B,0))</f>
      </c>
      <c r="H81" s="0">
        <f>INDEX(Monsters!$I:$I,MATCH($B81,Monsters!$B:$B,0))</f>
      </c>
      <c r="I81" s="7">
        <f>INDEX(Monsters!$O:$O,MATCH($B81,Monsters!$B:$B,0))</f>
      </c>
      <c r="J81" s="0">
        <f>INDEX(Monsters!$D:$D,MATCH($B81,Monsters!$B:$B,0))</f>
      </c>
      <c r="K81" s="0">
        <f>INDEX(Areas!$C:$C,MATCH($A81,Areas!$B:$B,0))</f>
      </c>
      <c r="L81" s="0">
        <f>K81-J81</f>
      </c>
    </row>
    <row r="82">
      <c r="A82" s="0" t="inlineStr">
        <is>
          <t xml:space="preserve">Baragoon Moor</t>
        </is>
      </c>
      <c r="B82" s="0" t="inlineStr">
        <is>
          <t xml:space="preserve">RED ROSE KNIGHT</t>
        </is>
      </c>
      <c r="C82" s="0">
        <v>11</v>
      </c>
      <c r="D82" s="0">
        <f>INDEX(Monsters!$E:$E,MATCH($B82,Monsters!$B:$B,0))</f>
      </c>
      <c r="E82" s="0">
        <f>INDEX(Monsters!$F:$F,MATCH($B82,Monsters!$B:$B,0))</f>
      </c>
      <c r="F82" s="0">
        <f>INDEX(Monsters!$G:$G,MATCH($B82,Monsters!$B:$B,0))</f>
      </c>
      <c r="G82" s="0">
        <f>INDEX(Monsters!$H:$H,MATCH($B82,Monsters!$B:$B,0))</f>
      </c>
      <c r="H82" s="0">
        <f>INDEX(Monsters!$I:$I,MATCH($B82,Monsters!$B:$B,0))</f>
      </c>
      <c r="I82" s="7">
        <f>INDEX(Monsters!$O:$O,MATCH($B82,Monsters!$B:$B,0))</f>
      </c>
      <c r="J82" s="0">
        <f>INDEX(Monsters!$D:$D,MATCH($B82,Monsters!$B:$B,0))</f>
      </c>
      <c r="K82" s="0">
        <f>INDEX(Areas!$C:$C,MATCH($A82,Areas!$B:$B,0))</f>
      </c>
      <c r="L82" s="0">
        <f>K82-J82</f>
      </c>
    </row>
    <row r="83">
      <c r="A83" s="0" t="inlineStr">
        <is>
          <t xml:space="preserve">Baragoon Moor</t>
        </is>
      </c>
      <c r="B83" s="0" t="inlineStr">
        <is>
          <t xml:space="preserve">WHITE ROSE KNIGHT</t>
        </is>
      </c>
      <c r="C83" s="0">
        <v>12</v>
      </c>
      <c r="D83" s="0">
        <f>INDEX(Monsters!$E:$E,MATCH($B83,Monsters!$B:$B,0))</f>
      </c>
      <c r="E83" s="0">
        <f>INDEX(Monsters!$F:$F,MATCH($B83,Monsters!$B:$B,0))</f>
      </c>
      <c r="F83" s="0">
        <f>INDEX(Monsters!$G:$G,MATCH($B83,Monsters!$B:$B,0))</f>
      </c>
      <c r="G83" s="0">
        <f>INDEX(Monsters!$H:$H,MATCH($B83,Monsters!$B:$B,0))</f>
      </c>
      <c r="H83" s="0">
        <f>INDEX(Monsters!$I:$I,MATCH($B83,Monsters!$B:$B,0))</f>
      </c>
      <c r="I83" s="7">
        <f>INDEX(Monsters!$O:$O,MATCH($B83,Monsters!$B:$B,0))</f>
      </c>
      <c r="J83" s="0">
        <f>INDEX(Monsters!$D:$D,MATCH($B83,Monsters!$B:$B,0))</f>
      </c>
      <c r="K83" s="0">
        <f>INDEX(Areas!$C:$C,MATCH($A83,Areas!$B:$B,0))</f>
      </c>
      <c r="L83" s="0">
        <f>K83-J83</f>
      </c>
    </row>
    <row r="84">
      <c r="A84" s="0" t="inlineStr">
        <is>
          <t xml:space="preserve">Brannoch Castle</t>
        </is>
      </c>
      <c r="B84" s="0" t="inlineStr">
        <is>
          <t xml:space="preserve">RED ROSE KNIGHT</t>
        </is>
      </c>
      <c r="C84" s="0">
        <v>11</v>
      </c>
      <c r="D84" s="0">
        <f>INDEX(Monsters!$E:$E,MATCH($B84,Monsters!$B:$B,0))</f>
      </c>
      <c r="E84" s="0">
        <f>INDEX(Monsters!$F:$F,MATCH($B84,Monsters!$B:$B,0))</f>
      </c>
      <c r="F84" s="0">
        <f>INDEX(Monsters!$G:$G,MATCH($B84,Monsters!$B:$B,0))</f>
      </c>
      <c r="G84" s="0">
        <f>INDEX(Monsters!$H:$H,MATCH($B84,Monsters!$B:$B,0))</f>
      </c>
      <c r="H84" s="0">
        <f>INDEX(Monsters!$I:$I,MATCH($B84,Monsters!$B:$B,0))</f>
      </c>
      <c r="I84" s="7">
        <f>INDEX(Monsters!$O:$O,MATCH($B84,Monsters!$B:$B,0))</f>
      </c>
      <c r="J84" s="0">
        <f>INDEX(Monsters!$D:$D,MATCH($B84,Monsters!$B:$B,0))</f>
      </c>
      <c r="K84" s="0">
        <f>INDEX(Areas!$C:$C,MATCH($A84,Areas!$B:$B,0))</f>
      </c>
      <c r="L84" s="0">
        <f>K84-J84</f>
      </c>
    </row>
    <row r="85">
      <c r="A85" s="0" t="inlineStr">
        <is>
          <t xml:space="preserve">Brannoch Castle</t>
        </is>
      </c>
      <c r="B85" s="0" t="inlineStr">
        <is>
          <t xml:space="preserve">WHITE ROSE KNIGHT</t>
        </is>
      </c>
      <c r="C85" s="0">
        <v>12</v>
      </c>
      <c r="D85" s="0">
        <f>INDEX(Monsters!$E:$E,MATCH($B85,Monsters!$B:$B,0))</f>
      </c>
      <c r="E85" s="0">
        <f>INDEX(Monsters!$F:$F,MATCH($B85,Monsters!$B:$B,0))</f>
      </c>
      <c r="F85" s="0">
        <f>INDEX(Monsters!$G:$G,MATCH($B85,Monsters!$B:$B,0))</f>
      </c>
      <c r="G85" s="0">
        <f>INDEX(Monsters!$H:$H,MATCH($B85,Monsters!$B:$B,0))</f>
      </c>
      <c r="H85" s="0">
        <f>INDEX(Monsters!$I:$I,MATCH($B85,Monsters!$B:$B,0))</f>
      </c>
      <c r="I85" s="7">
        <f>INDEX(Monsters!$O:$O,MATCH($B85,Monsters!$B:$B,0))</f>
      </c>
      <c r="J85" s="0">
        <f>INDEX(Monsters!$D:$D,MATCH($B85,Monsters!$B:$B,0))</f>
      </c>
      <c r="K85" s="0">
        <f>INDEX(Areas!$C:$C,MATCH($A85,Areas!$B:$B,0))</f>
      </c>
      <c r="L85" s="0">
        <f>K85-J85</f>
      </c>
    </row>
    <row r="86">
      <c r="A86" s="0" t="inlineStr">
        <is>
          <t xml:space="preserve">Mammon's World</t>
        </is>
      </c>
      <c r="B86" s="0" t="inlineStr">
        <is>
          <t xml:space="preserve">JUDGMENT</t>
        </is>
      </c>
      <c r="C86" s="0">
        <v>0</v>
      </c>
      <c r="D86" s="0">
        <f>INDEX(Monsters!$E:$E,MATCH($B86,Monsters!$B:$B,0))</f>
      </c>
      <c r="E86" s="0">
        <f>INDEX(Monsters!$F:$F,MATCH($B86,Monsters!$B:$B,0))</f>
      </c>
      <c r="F86" s="0">
        <f>INDEX(Monsters!$G:$G,MATCH($B86,Monsters!$B:$B,0))</f>
      </c>
      <c r="G86" s="0">
        <f>INDEX(Monsters!$H:$H,MATCH($B86,Monsters!$B:$B,0))</f>
      </c>
      <c r="H86" s="0">
        <f>INDEX(Monsters!$I:$I,MATCH($B86,Monsters!$B:$B,0))</f>
      </c>
      <c r="I86" s="7">
        <f>INDEX(Monsters!$O:$O,MATCH($B86,Monsters!$B:$B,0))</f>
      </c>
      <c r="J86" s="0">
        <f>INDEX(Monsters!$D:$D,MATCH($B86,Monsters!$B:$B,0))</f>
      </c>
      <c r="K86" s="0">
        <f>INDEX(Areas!$C:$C,MATCH($A86,Areas!$B:$B,0))</f>
      </c>
      <c r="L86" s="0">
        <f>K86-J86</f>
      </c>
    </row>
    <row r="87">
      <c r="A87" s="0" t="inlineStr">
        <is>
          <t xml:space="preserve">Mammon's World</t>
        </is>
      </c>
      <c r="B87" s="0" t="inlineStr">
        <is>
          <t xml:space="preserve">PALE RIDER</t>
        </is>
      </c>
      <c r="C87" s="0">
        <v>1</v>
      </c>
      <c r="D87" s="0">
        <f>INDEX(Monsters!$E:$E,MATCH($B87,Monsters!$B:$B,0))</f>
      </c>
      <c r="E87" s="0">
        <f>INDEX(Monsters!$F:$F,MATCH($B87,Monsters!$B:$B,0))</f>
      </c>
      <c r="F87" s="0">
        <f>INDEX(Monsters!$G:$G,MATCH($B87,Monsters!$B:$B,0))</f>
      </c>
      <c r="G87" s="0">
        <f>INDEX(Monsters!$H:$H,MATCH($B87,Monsters!$B:$B,0))</f>
      </c>
      <c r="H87" s="0">
        <f>INDEX(Monsters!$I:$I,MATCH($B87,Monsters!$B:$B,0))</f>
      </c>
      <c r="I87" s="7">
        <f>INDEX(Monsters!$O:$O,MATCH($B87,Monsters!$B:$B,0))</f>
      </c>
      <c r="J87" s="0">
        <f>INDEX(Monsters!$D:$D,MATCH($B87,Monsters!$B:$B,0))</f>
      </c>
      <c r="K87" s="0">
        <f>INDEX(Areas!$C:$C,MATCH($A87,Areas!$B:$B,0))</f>
      </c>
      <c r="L87" s="0">
        <f>K87-J87</f>
      </c>
    </row>
    <row r="88">
      <c r="A88" s="0" t="inlineStr">
        <is>
          <t xml:space="preserve">Mammon's World</t>
        </is>
      </c>
      <c r="B88" s="0" t="inlineStr">
        <is>
          <t xml:space="preserve">PIN HEAD</t>
        </is>
      </c>
      <c r="C88" s="0">
        <v>2</v>
      </c>
      <c r="D88" s="0">
        <f>INDEX(Monsters!$E:$E,MATCH($B88,Monsters!$B:$B,0))</f>
      </c>
      <c r="E88" s="0">
        <f>INDEX(Monsters!$F:$F,MATCH($B88,Monsters!$B:$B,0))</f>
      </c>
      <c r="F88" s="0">
        <f>INDEX(Monsters!$G:$G,MATCH($B88,Monsters!$B:$B,0))</f>
      </c>
      <c r="G88" s="0">
        <f>INDEX(Monsters!$H:$H,MATCH($B88,Monsters!$B:$B,0))</f>
      </c>
      <c r="H88" s="0">
        <f>INDEX(Monsters!$I:$I,MATCH($B88,Monsters!$B:$B,0))</f>
      </c>
      <c r="I88" s="7">
        <f>INDEX(Monsters!$O:$O,MATCH($B88,Monsters!$B:$B,0))</f>
      </c>
      <c r="J88" s="0">
        <f>INDEX(Monsters!$D:$D,MATCH($B88,Monsters!$B:$B,0))</f>
      </c>
      <c r="K88" s="0">
        <f>INDEX(Areas!$C:$C,MATCH($A88,Areas!$B:$B,0))</f>
      </c>
      <c r="L88" s="0">
        <f>K88-J88</f>
      </c>
    </row>
    <row r="89">
      <c r="A89" s="0" t="inlineStr">
        <is>
          <t xml:space="preserve">Mammon's World</t>
        </is>
      </c>
      <c r="B89" s="0" t="inlineStr">
        <is>
          <t xml:space="preserve">SPRIGGAN</t>
        </is>
      </c>
      <c r="C89" s="0">
        <v>3</v>
      </c>
      <c r="D89" s="0">
        <f>INDEX(Monsters!$E:$E,MATCH($B89,Monsters!$B:$B,0))</f>
      </c>
      <c r="E89" s="0">
        <f>INDEX(Monsters!$F:$F,MATCH($B89,Monsters!$B:$B,0))</f>
      </c>
      <c r="F89" s="0">
        <f>INDEX(Monsters!$G:$G,MATCH($B89,Monsters!$B:$B,0))</f>
      </c>
      <c r="G89" s="0">
        <f>INDEX(Monsters!$H:$H,MATCH($B89,Monsters!$B:$B,0))</f>
      </c>
      <c r="H89" s="0">
        <f>INDEX(Monsters!$I:$I,MATCH($B89,Monsters!$B:$B,0))</f>
      </c>
      <c r="I89" s="7">
        <f>INDEX(Monsters!$O:$O,MATCH($B89,Monsters!$B:$B,0))</f>
      </c>
      <c r="J89" s="0">
        <f>INDEX(Monsters!$D:$D,MATCH($B89,Monsters!$B:$B,0))</f>
      </c>
      <c r="K89" s="0">
        <f>INDEX(Areas!$C:$C,MATCH($A89,Areas!$B:$B,0))</f>
      </c>
      <c r="L89" s="0">
        <f>K89-J89</f>
      </c>
    </row>
  </sheetData>
</worksheet>
</file>

<file path=xl/worksheets/sheet5.xml><?xml version="1.0" encoding="utf-8"?>
<worksheet xmlns="http://schemas.openxmlformats.org/spreadsheetml/2006/main">
  <sheetViews>
    <sheetView workbookViewId="0">
      <pane ySplit="3" topLeftCell="A4" activePane="bottomLeft" state="frozen"/>
    </sheetView>
  </sheetViews>
  <cols>
    <col min="1" max="1" width="5" customWidth="1"/>
    <col min="2" max="2" width="20" customWidth="1"/>
    <col min="3" max="3" width="18" customWidth="1"/>
    <col min="4" max="4" width="9" customWidth="1"/>
    <col min="5" max="5" width="7" customWidth="1"/>
    <col min="6" max="6" width="7" customWidth="1"/>
    <col min="7" max="7" width="7" customWidth="1"/>
    <col min="8" max="8" width="7" customWidth="1"/>
    <col min="9" max="9" width="7" customWidth="1"/>
    <col min="10" max="10" width="6" customWidth="1"/>
    <col min="11" max="11" width="7" customWidth="1"/>
    <col min="12" max="12" width="10" customWidth="1"/>
    <col min="13" max="13" width="9" customWidth="1"/>
    <col min="14" max="14" width="9" customWidth="1"/>
    <col min="15" max="15" width="9" customWidth="1"/>
    <col min="16" max="16" width="9" customWidth="1"/>
    <col min="17" max="17" width="10" customWidth="1"/>
    <col min="18" max="18" width="10" customWidth="1"/>
    <col min="19" max="19" width="14" customWidth="1"/>
  </cols>
  <sheetData>
    <row r="1">
      <c r="A1" s="4" t="inlineStr">
        <is>
          <t xml:space="preserve">Monsters: vanilla stats, home area, computed power and placement window</t>
        </is>
      </c>
    </row>
    <row r="2">
      <c r="A2" s="3" t="inlineStr">
        <is>
          <t xml:space="preserve">Stats are the ROM's (HP, ATK, DEF, AGI, EXP; Drop is the item drop slot). Native tier comes from the home area's tier on the Areas tab. Flying is the ROM's own flag (only Wyvern, Will-o'-Wisp and Pixie carry it), not a visual judgement. Power/Power tier use the Settings weights and thresholds. Q-R are the area tiers this monster may be placed in under the current spread (Q uses spread-up: a monster may go to areas up to that many tiers below it; R uses spread-down); dangerous monsters are pinned at or above their native tier. S is where the six stat halfwords live in the ROM. Bosses (ids 67+) are not listed: they are not part of this.</t>
        </is>
      </c>
    </row>
    <row r="3">
      <c r="A3" s="1" t="inlineStr">
        <is>
          <t xml:space="preserve">Id</t>
        </is>
      </c>
      <c r="B3" s="1" t="inlineStr">
        <is>
          <t xml:space="preserve">Monster</t>
        </is>
      </c>
      <c r="C3" s="1" t="inlineStr">
        <is>
          <t xml:space="preserve">Home area</t>
        </is>
      </c>
      <c r="D3" s="1" t="inlineStr">
        <is>
          <t xml:space="preserve">Native tier</t>
        </is>
      </c>
      <c r="E3" s="1" t="inlineStr">
        <is>
          <t xml:space="preserve">HP</t>
        </is>
      </c>
      <c r="F3" s="1" t="inlineStr">
        <is>
          <t xml:space="preserve">ATK</t>
        </is>
      </c>
      <c r="G3" s="1" t="inlineStr">
        <is>
          <t xml:space="preserve">DEF</t>
        </is>
      </c>
      <c r="H3" s="1" t="inlineStr">
        <is>
          <t xml:space="preserve">AGI</t>
        </is>
      </c>
      <c r="I3" s="1" t="inlineStr">
        <is>
          <t xml:space="preserve">EXP</t>
        </is>
      </c>
      <c r="J3" s="1" t="inlineStr">
        <is>
          <t xml:space="preserve">Drop</t>
        </is>
      </c>
      <c r="K3" s="1" t="inlineStr">
        <is>
          <t xml:space="preserve">Flying</t>
        </is>
      </c>
      <c r="L3" s="1" t="inlineStr">
        <is>
          <t xml:space="preserve">Dangerous</t>
        </is>
      </c>
      <c r="M3" s="1" t="inlineStr">
        <is>
          <t xml:space="preserve">Bulk</t>
        </is>
      </c>
      <c r="N3" s="1" t="inlineStr">
        <is>
          <t xml:space="preserve">Threat</t>
        </is>
      </c>
      <c r="O3" s="1" t="inlineStr">
        <is>
          <t xml:space="preserve">Power</t>
        </is>
      </c>
      <c r="P3" s="1" t="inlineStr">
        <is>
          <t xml:space="preserve">Power tier</t>
        </is>
      </c>
      <c r="Q3" s="1" t="inlineStr">
        <is>
          <t xml:space="preserve">Placeable from tier</t>
        </is>
      </c>
      <c r="R3" s="1" t="inlineStr">
        <is>
          <t xml:space="preserve">Placeable to tier</t>
        </is>
      </c>
      <c r="S3" s="1" t="inlineStr">
        <is>
          <t xml:space="preserve">Stat ROM address</t>
        </is>
      </c>
    </row>
    <row r="4">
      <c r="A4" s="0">
        <v>0</v>
      </c>
      <c r="B4" s="0" t="inlineStr">
        <is>
          <t xml:space="preserve">WERE HARE</t>
        </is>
      </c>
      <c r="C4" s="0" t="inlineStr">
        <is>
          <t xml:space="preserve">Holy Plains</t>
        </is>
      </c>
      <c r="D4" s="0">
        <f>IFERROR(INDEX(Areas!$C:$C,MATCH($C4,Areas!$B:$B,0)),"")</f>
      </c>
      <c r="E4" s="0">
        <v>9</v>
      </c>
      <c r="F4" s="0">
        <v>3</v>
      </c>
      <c r="G4" s="0">
        <v>1</v>
      </c>
      <c r="H4" s="0">
        <v>5</v>
      </c>
      <c r="I4" s="0">
        <v>2</v>
      </c>
      <c r="J4" s="0">
        <v>3</v>
      </c>
      <c r="K4" s="0" t="inlineStr">
        <is>
          <t xml:space="preserve">N</t>
        </is>
      </c>
      <c r="L4" s="2" t="inlineStr">
        <is>
          <t xml:space="preserve">N</t>
        </is>
      </c>
      <c r="M4" s="7">
        <f>E4*(1+G4/Settings!$B$9)</f>
      </c>
      <c r="N4" s="7">
        <f>F4*(1+H4/Settings!$B$10)</f>
      </c>
      <c r="O4" s="7">
        <f>ROUND(SQRT(M4*N4),1)</f>
      </c>
      <c r="P4" s="0">
        <f>1+COUNTIF(Settings!$B$13:$B$19,"&lt;="&amp;O4)</f>
      </c>
      <c r="Q4" s="0">
        <f>IF(AND(L4="Y",Settings!$B$8="Y"),D4,MAX(1,D4-Settings!$B$5))</f>
      </c>
      <c r="R4" s="0">
        <f>MIN(8,D4+Settings!$B$4)</f>
      </c>
      <c r="S4" s="0" t="inlineStr">
        <is>
          <t xml:space="preserve">ADC094</t>
        </is>
      </c>
    </row>
    <row r="5">
      <c r="A5" s="0">
        <v>1</v>
      </c>
      <c r="B5" s="0" t="inlineStr">
        <is>
          <t xml:space="preserve">HELL HOUND</t>
        </is>
      </c>
      <c r="C5" s="0" t="inlineStr">
        <is>
          <t xml:space="preserve">Holy Plains</t>
        </is>
      </c>
      <c r="D5" s="0">
        <f>IFERROR(INDEX(Areas!$C:$C,MATCH($C5,Areas!$B:$B,0)),"")</f>
      </c>
      <c r="E5" s="0">
        <v>10</v>
      </c>
      <c r="F5" s="0">
        <v>3</v>
      </c>
      <c r="G5" s="0">
        <v>2</v>
      </c>
      <c r="H5" s="0">
        <v>8</v>
      </c>
      <c r="I5" s="0">
        <v>3</v>
      </c>
      <c r="J5" s="0">
        <v>0</v>
      </c>
      <c r="K5" s="0" t="inlineStr">
        <is>
          <t xml:space="preserve">N</t>
        </is>
      </c>
      <c r="L5" s="2" t="inlineStr">
        <is>
          <t xml:space="preserve">N</t>
        </is>
      </c>
      <c r="M5" s="7">
        <f>E5*(1+G5/Settings!$B$9)</f>
      </c>
      <c r="N5" s="7">
        <f>F5*(1+H5/Settings!$B$10)</f>
      </c>
      <c r="O5" s="7">
        <f>ROUND(SQRT(M5*N5),1)</f>
      </c>
      <c r="P5" s="0">
        <f>1+COUNTIF(Settings!$B$13:$B$19,"&lt;="&amp;O5)</f>
      </c>
      <c r="Q5" s="0">
        <f>IF(AND(L5="Y",Settings!$B$8="Y"),D5,MAX(1,D5-Settings!$B$5))</f>
      </c>
      <c r="R5" s="0">
        <f>MIN(8,D5+Settings!$B$4)</f>
      </c>
      <c r="S5" s="0" t="inlineStr">
        <is>
          <t xml:space="preserve">ADC0CC</t>
        </is>
      </c>
    </row>
    <row r="6">
      <c r="A6" s="0">
        <v>2</v>
      </c>
      <c r="B6" s="0" t="inlineStr">
        <is>
          <t xml:space="preserve">MAN EATER</t>
        </is>
      </c>
      <c r="C6" s="0" t="inlineStr">
        <is>
          <t xml:space="preserve">Holy Plains</t>
        </is>
      </c>
      <c r="D6" s="0">
        <f>IFERROR(INDEX(Areas!$C:$C,MATCH($C6,Areas!$B:$B,0)),"")</f>
      </c>
      <c r="E6" s="0">
        <v>24</v>
      </c>
      <c r="F6" s="0">
        <v>5</v>
      </c>
      <c r="G6" s="0">
        <v>4</v>
      </c>
      <c r="H6" s="0">
        <v>6</v>
      </c>
      <c r="I6" s="0">
        <v>4</v>
      </c>
      <c r="J6" s="0">
        <v>1</v>
      </c>
      <c r="K6" s="0" t="inlineStr">
        <is>
          <t xml:space="preserve">N</t>
        </is>
      </c>
      <c r="L6" s="2" t="inlineStr">
        <is>
          <t xml:space="preserve">N</t>
        </is>
      </c>
      <c r="M6" s="7">
        <f>E6*(1+G6/Settings!$B$9)</f>
      </c>
      <c r="N6" s="7">
        <f>F6*(1+H6/Settings!$B$10)</f>
      </c>
      <c r="O6" s="7">
        <f>ROUND(SQRT(M6*N6),1)</f>
      </c>
      <c r="P6" s="0">
        <f>1+COUNTIF(Settings!$B$13:$B$19,"&lt;="&amp;O6)</f>
      </c>
      <c r="Q6" s="0">
        <f>IF(AND(L6="Y",Settings!$B$8="Y"),D6,MAX(1,D6-Settings!$B$5))</f>
      </c>
      <c r="R6" s="0">
        <f>MIN(8,D6+Settings!$B$4)</f>
      </c>
      <c r="S6" s="0" t="inlineStr">
        <is>
          <t xml:space="preserve">ADC104</t>
        </is>
      </c>
    </row>
    <row r="7">
      <c r="A7" s="0">
        <v>3</v>
      </c>
      <c r="B7" s="0" t="inlineStr">
        <is>
          <t xml:space="preserve">BIG MOUTH</t>
        </is>
      </c>
      <c r="C7" s="0" t="inlineStr">
        <is>
          <t xml:space="preserve">Holy Plains</t>
        </is>
      </c>
      <c r="D7" s="0">
        <f>IFERROR(INDEX(Areas!$C:$C,MATCH($C7,Areas!$B:$B,0)),"")</f>
      </c>
      <c r="E7" s="0">
        <v>28</v>
      </c>
      <c r="F7" s="0">
        <v>2</v>
      </c>
      <c r="G7" s="0">
        <v>2</v>
      </c>
      <c r="H7" s="0">
        <v>4</v>
      </c>
      <c r="I7" s="0">
        <v>4</v>
      </c>
      <c r="J7" s="0">
        <v>2</v>
      </c>
      <c r="K7" s="0" t="inlineStr">
        <is>
          <t xml:space="preserve">N</t>
        </is>
      </c>
      <c r="L7" s="2" t="inlineStr">
        <is>
          <t xml:space="preserve">N</t>
        </is>
      </c>
      <c r="M7" s="7">
        <f>E7*(1+G7/Settings!$B$9)</f>
      </c>
      <c r="N7" s="7">
        <f>F7*(1+H7/Settings!$B$10)</f>
      </c>
      <c r="O7" s="7">
        <f>ROUND(SQRT(M7*N7),1)</f>
      </c>
      <c r="P7" s="0">
        <f>1+COUNTIF(Settings!$B$13:$B$19,"&lt;="&amp;O7)</f>
      </c>
      <c r="Q7" s="0">
        <f>IF(AND(L7="Y",Settings!$B$8="Y"),D7,MAX(1,D7-Settings!$B$5))</f>
      </c>
      <c r="R7" s="0">
        <f>MIN(8,D7+Settings!$B$4)</f>
      </c>
      <c r="S7" s="0" t="inlineStr">
        <is>
          <t xml:space="preserve">ADC13C</t>
        </is>
      </c>
    </row>
    <row r="8">
      <c r="A8" s="0">
        <v>4</v>
      </c>
      <c r="B8" s="0" t="inlineStr">
        <is>
          <t xml:space="preserve">BUMBERSHOOT</t>
        </is>
      </c>
      <c r="C8" s="0" t="inlineStr">
        <is>
          <t xml:space="preserve">Holy Plains</t>
        </is>
      </c>
      <c r="D8" s="0">
        <f>IFERROR(INDEX(Areas!$C:$C,MATCH($C8,Areas!$B:$B,0)),"")</f>
      </c>
      <c r="E8" s="0">
        <v>9</v>
      </c>
      <c r="F8" s="0">
        <v>3</v>
      </c>
      <c r="G8" s="0">
        <v>2</v>
      </c>
      <c r="H8" s="0">
        <v>6</v>
      </c>
      <c r="I8" s="0">
        <v>3</v>
      </c>
      <c r="J8" s="0">
        <v>0</v>
      </c>
      <c r="K8" s="0" t="inlineStr">
        <is>
          <t xml:space="preserve">N</t>
        </is>
      </c>
      <c r="L8" s="2" t="inlineStr">
        <is>
          <t xml:space="preserve">N</t>
        </is>
      </c>
      <c r="M8" s="7">
        <f>E8*(1+G8/Settings!$B$9)</f>
      </c>
      <c r="N8" s="7">
        <f>F8*(1+H8/Settings!$B$10)</f>
      </c>
      <c r="O8" s="7">
        <f>ROUND(SQRT(M8*N8),1)</f>
      </c>
      <c r="P8" s="0">
        <f>1+COUNTIF(Settings!$B$13:$B$19,"&lt;="&amp;O8)</f>
      </c>
      <c r="Q8" s="0">
        <f>IF(AND(L8="Y",Settings!$B$8="Y"),D8,MAX(1,D8-Settings!$B$5))</f>
      </c>
      <c r="R8" s="0">
        <f>MIN(8,D8+Settings!$B$4)</f>
      </c>
      <c r="S8" s="0" t="inlineStr">
        <is>
          <t xml:space="preserve">ADC174</t>
        </is>
      </c>
    </row>
    <row r="9">
      <c r="A9" s="0">
        <v>5</v>
      </c>
      <c r="B9" s="0" t="inlineStr">
        <is>
          <t xml:space="preserve">PARASAULT</t>
        </is>
      </c>
      <c r="C9" s="0" t="inlineStr">
        <is>
          <t xml:space="preserve">Holy Plains</t>
        </is>
      </c>
      <c r="D9" s="0">
        <f>IFERROR(INDEX(Areas!$C:$C,MATCH($C9,Areas!$B:$B,0)),"")</f>
      </c>
      <c r="E9" s="0">
        <v>13</v>
      </c>
      <c r="F9" s="0">
        <v>2</v>
      </c>
      <c r="G9" s="0">
        <v>2</v>
      </c>
      <c r="H9" s="0">
        <v>6</v>
      </c>
      <c r="I9" s="0">
        <v>3</v>
      </c>
      <c r="J9" s="0">
        <v>2</v>
      </c>
      <c r="K9" s="0" t="inlineStr">
        <is>
          <t xml:space="preserve">N</t>
        </is>
      </c>
      <c r="L9" s="2" t="inlineStr">
        <is>
          <t xml:space="preserve">N</t>
        </is>
      </c>
      <c r="M9" s="7">
        <f>E9*(1+G9/Settings!$B$9)</f>
      </c>
      <c r="N9" s="7">
        <f>F9*(1+H9/Settings!$B$10)</f>
      </c>
      <c r="O9" s="7">
        <f>ROUND(SQRT(M9*N9),1)</f>
      </c>
      <c r="P9" s="0">
        <f>1+COUNTIF(Settings!$B$13:$B$19,"&lt;="&amp;O9)</f>
      </c>
      <c r="Q9" s="0">
        <f>IF(AND(L9="Y",Settings!$B$8="Y"),D9,MAX(1,D9-Settings!$B$5))</f>
      </c>
      <c r="R9" s="0">
        <f>MIN(8,D9+Settings!$B$4)</f>
      </c>
      <c r="S9" s="0" t="inlineStr">
        <is>
          <t xml:space="preserve">ADC1AC</t>
        </is>
      </c>
    </row>
    <row r="10">
      <c r="A10" s="0">
        <v>6</v>
      </c>
      <c r="B10" s="0" t="inlineStr">
        <is>
          <t xml:space="preserve">ORK JR</t>
        </is>
      </c>
      <c r="C10" s="0" t="inlineStr">
        <is>
          <t xml:space="preserve">Holy Plains</t>
        </is>
      </c>
      <c r="D10" s="0">
        <f>IFERROR(INDEX(Areas!$C:$C,MATCH($C10,Areas!$B:$B,0)),"")</f>
      </c>
      <c r="E10" s="0">
        <v>63</v>
      </c>
      <c r="F10" s="0">
        <v>12</v>
      </c>
      <c r="G10" s="0">
        <v>14</v>
      </c>
      <c r="H10" s="0">
        <v>16</v>
      </c>
      <c r="I10" s="0">
        <v>22</v>
      </c>
      <c r="J10" s="0">
        <v>1</v>
      </c>
      <c r="K10" s="0" t="inlineStr">
        <is>
          <t xml:space="preserve">N</t>
        </is>
      </c>
      <c r="L10" s="2" t="inlineStr">
        <is>
          <t xml:space="preserve">N</t>
        </is>
      </c>
      <c r="M10" s="7">
        <f>E10*(1+G10/Settings!$B$9)</f>
      </c>
      <c r="N10" s="7">
        <f>F10*(1+H10/Settings!$B$10)</f>
      </c>
      <c r="O10" s="7">
        <f>ROUND(SQRT(M10*N10),1)</f>
      </c>
      <c r="P10" s="0">
        <f>1+COUNTIF(Settings!$B$13:$B$19,"&lt;="&amp;O10)</f>
      </c>
      <c r="Q10" s="0">
        <f>IF(AND(L10="Y",Settings!$B$8="Y"),D10,MAX(1,D10-Settings!$B$5))</f>
      </c>
      <c r="R10" s="0">
        <f>MIN(8,D10+Settings!$B$4)</f>
      </c>
      <c r="S10" s="0" t="inlineStr">
        <is>
          <t xml:space="preserve">ADC1E4</t>
        </is>
      </c>
    </row>
    <row r="11">
      <c r="A11" s="0">
        <v>7</v>
      </c>
      <c r="B11" s="0" t="inlineStr">
        <is>
          <t xml:space="preserve">GREMLIN</t>
        </is>
      </c>
      <c r="C11" s="0" t="inlineStr">
        <is>
          <t xml:space="preserve">West Carmaugh</t>
        </is>
      </c>
      <c r="D11" s="0">
        <f>IFERROR(INDEX(Areas!$C:$C,MATCH($C11,Areas!$B:$B,0)),"")</f>
      </c>
      <c r="E11" s="0">
        <v>83</v>
      </c>
      <c r="F11" s="0">
        <v>13</v>
      </c>
      <c r="G11" s="0">
        <v>15</v>
      </c>
      <c r="H11" s="0">
        <v>46</v>
      </c>
      <c r="I11" s="0">
        <v>24</v>
      </c>
      <c r="J11" s="0">
        <v>3</v>
      </c>
      <c r="K11" s="0" t="inlineStr">
        <is>
          <t xml:space="preserve">N</t>
        </is>
      </c>
      <c r="L11" s="2" t="inlineStr">
        <is>
          <t xml:space="preserve">N</t>
        </is>
      </c>
      <c r="M11" s="7">
        <f>E11*(1+G11/Settings!$B$9)</f>
      </c>
      <c r="N11" s="7">
        <f>F11*(1+H11/Settings!$B$10)</f>
      </c>
      <c r="O11" s="7">
        <f>ROUND(SQRT(M11*N11),1)</f>
      </c>
      <c r="P11" s="0">
        <f>1+COUNTIF(Settings!$B$13:$B$19,"&lt;="&amp;O11)</f>
      </c>
      <c r="Q11" s="0">
        <f>IF(AND(L11="Y",Settings!$B$8="Y"),D11,MAX(1,D11-Settings!$B$5))</f>
      </c>
      <c r="R11" s="0">
        <f>MIN(8,D11+Settings!$B$4)</f>
      </c>
      <c r="S11" s="0" t="inlineStr">
        <is>
          <t xml:space="preserve">ADC21C</t>
        </is>
      </c>
    </row>
    <row r="12">
      <c r="A12" s="0">
        <v>8</v>
      </c>
      <c r="B12" s="0" t="inlineStr">
        <is>
          <t xml:space="preserve">SKELETON</t>
        </is>
      </c>
      <c r="C12" s="0" t="inlineStr">
        <is>
          <t xml:space="preserve">West Carmaugh</t>
        </is>
      </c>
      <c r="D12" s="0">
        <f>IFERROR(INDEX(Areas!$C:$C,MATCH($C12,Areas!$B:$B,0)),"")</f>
      </c>
      <c r="E12" s="0">
        <v>80</v>
      </c>
      <c r="F12" s="0">
        <v>12</v>
      </c>
      <c r="G12" s="0">
        <v>20</v>
      </c>
      <c r="H12" s="0">
        <v>40</v>
      </c>
      <c r="I12" s="0">
        <v>32</v>
      </c>
      <c r="J12" s="0">
        <v>0</v>
      </c>
      <c r="K12" s="0" t="inlineStr">
        <is>
          <t xml:space="preserve">N</t>
        </is>
      </c>
      <c r="L12" s="2" t="inlineStr">
        <is>
          <t xml:space="preserve">N</t>
        </is>
      </c>
      <c r="M12" s="7">
        <f>E12*(1+G12/Settings!$B$9)</f>
      </c>
      <c r="N12" s="7">
        <f>F12*(1+H12/Settings!$B$10)</f>
      </c>
      <c r="O12" s="7">
        <f>ROUND(SQRT(M12*N12),1)</f>
      </c>
      <c r="P12" s="0">
        <f>1+COUNTIF(Settings!$B$13:$B$19,"&lt;="&amp;O12)</f>
      </c>
      <c r="Q12" s="0">
        <f>IF(AND(L12="Y",Settings!$B$8="Y"),D12,MAX(1,D12-Settings!$B$5))</f>
      </c>
      <c r="R12" s="0">
        <f>MIN(8,D12+Settings!$B$4)</f>
      </c>
      <c r="S12" s="0" t="inlineStr">
        <is>
          <t xml:space="preserve">ADC254</t>
        </is>
      </c>
    </row>
    <row r="13">
      <c r="A13" s="0">
        <v>9</v>
      </c>
      <c r="B13" s="0" t="inlineStr">
        <is>
          <t xml:space="preserve">GHOSTHOUND</t>
        </is>
      </c>
      <c r="C13" s="0" t="inlineStr">
        <is>
          <t xml:space="preserve">West Carmaugh</t>
        </is>
      </c>
      <c r="D13" s="0">
        <f>IFERROR(INDEX(Areas!$C:$C,MATCH($C13,Areas!$B:$B,0)),"")</f>
      </c>
      <c r="E13" s="0">
        <v>99</v>
      </c>
      <c r="F13" s="0">
        <v>12</v>
      </c>
      <c r="G13" s="0">
        <v>16</v>
      </c>
      <c r="H13" s="0">
        <v>43</v>
      </c>
      <c r="I13" s="0">
        <v>25</v>
      </c>
      <c r="J13" s="0">
        <v>3</v>
      </c>
      <c r="K13" s="0" t="inlineStr">
        <is>
          <t xml:space="preserve">N</t>
        </is>
      </c>
      <c r="L13" s="2" t="inlineStr">
        <is>
          <t xml:space="preserve">N</t>
        </is>
      </c>
      <c r="M13" s="7">
        <f>E13*(1+G13/Settings!$B$9)</f>
      </c>
      <c r="N13" s="7">
        <f>F13*(1+H13/Settings!$B$10)</f>
      </c>
      <c r="O13" s="7">
        <f>ROUND(SQRT(M13*N13),1)</f>
      </c>
      <c r="P13" s="0">
        <f>1+COUNTIF(Settings!$B$13:$B$19,"&lt;="&amp;O13)</f>
      </c>
      <c r="Q13" s="0">
        <f>IF(AND(L13="Y",Settings!$B$8="Y"),D13,MAX(1,D13-Settings!$B$5))</f>
      </c>
      <c r="R13" s="0">
        <f>MIN(8,D13+Settings!$B$4)</f>
      </c>
      <c r="S13" s="0" t="inlineStr">
        <is>
          <t xml:space="preserve">ADC28C</t>
        </is>
      </c>
    </row>
    <row r="14">
      <c r="A14" s="0">
        <v>10</v>
      </c>
      <c r="B14" s="0" t="inlineStr">
        <is>
          <t xml:space="preserve">MERROW</t>
        </is>
      </c>
      <c r="C14" s="0" t="inlineStr">
        <is>
          <t xml:space="preserve">West Carmaugh</t>
        </is>
      </c>
      <c r="D14" s="0">
        <f>IFERROR(INDEX(Areas!$C:$C,MATCH($C14,Areas!$B:$B,0)),"")</f>
      </c>
      <c r="E14" s="0">
        <v>77</v>
      </c>
      <c r="F14" s="0">
        <v>12</v>
      </c>
      <c r="G14" s="0">
        <v>14</v>
      </c>
      <c r="H14" s="0">
        <v>36</v>
      </c>
      <c r="I14" s="0">
        <v>24</v>
      </c>
      <c r="J14" s="0">
        <v>2</v>
      </c>
      <c r="K14" s="0" t="inlineStr">
        <is>
          <t xml:space="preserve">N</t>
        </is>
      </c>
      <c r="L14" s="2" t="inlineStr">
        <is>
          <t xml:space="preserve">N</t>
        </is>
      </c>
      <c r="M14" s="7">
        <f>E14*(1+G14/Settings!$B$9)</f>
      </c>
      <c r="N14" s="7">
        <f>F14*(1+H14/Settings!$B$10)</f>
      </c>
      <c r="O14" s="7">
        <f>ROUND(SQRT(M14*N14),1)</f>
      </c>
      <c r="P14" s="0">
        <f>1+COUNTIF(Settings!$B$13:$B$19,"&lt;="&amp;O14)</f>
      </c>
      <c r="Q14" s="0">
        <f>IF(AND(L14="Y",Settings!$B$8="Y"),D14,MAX(1,D14-Settings!$B$5))</f>
      </c>
      <c r="R14" s="0">
        <f>MIN(8,D14+Settings!$B$4)</f>
      </c>
      <c r="S14" s="0" t="inlineStr">
        <is>
          <t xml:space="preserve">ADC2C4</t>
        </is>
      </c>
    </row>
    <row r="15">
      <c r="A15" s="0">
        <v>11</v>
      </c>
      <c r="B15" s="0" t="inlineStr">
        <is>
          <t xml:space="preserve">WOLF GOAT</t>
        </is>
      </c>
      <c r="C15" s="0" t="inlineStr">
        <is>
          <t xml:space="preserve">West Carmaugh</t>
        </is>
      </c>
      <c r="D15" s="0">
        <f>IFERROR(INDEX(Areas!$C:$C,MATCH($C15,Areas!$B:$B,0)),"")</f>
      </c>
      <c r="E15" s="0">
        <v>95</v>
      </c>
      <c r="F15" s="0">
        <v>14</v>
      </c>
      <c r="G15" s="0">
        <v>17</v>
      </c>
      <c r="H15" s="0">
        <v>39</v>
      </c>
      <c r="I15" s="0">
        <v>36</v>
      </c>
      <c r="J15" s="0">
        <v>1</v>
      </c>
      <c r="K15" s="0" t="inlineStr">
        <is>
          <t xml:space="preserve">N</t>
        </is>
      </c>
      <c r="L15" s="2" t="inlineStr">
        <is>
          <t xml:space="preserve">N</t>
        </is>
      </c>
      <c r="M15" s="7">
        <f>E15*(1+G15/Settings!$B$9)</f>
      </c>
      <c r="N15" s="7">
        <f>F15*(1+H15/Settings!$B$10)</f>
      </c>
      <c r="O15" s="7">
        <f>ROUND(SQRT(M15*N15),1)</f>
      </c>
      <c r="P15" s="0">
        <f>1+COUNTIF(Settings!$B$13:$B$19,"&lt;="&amp;O15)</f>
      </c>
      <c r="Q15" s="0">
        <f>IF(AND(L15="Y",Settings!$B$8="Y"),D15,MAX(1,D15-Settings!$B$5))</f>
      </c>
      <c r="R15" s="0">
        <f>MIN(8,D15+Settings!$B$4)</f>
      </c>
      <c r="S15" s="0" t="inlineStr">
        <is>
          <t xml:space="preserve">ADC2FC</t>
        </is>
      </c>
    </row>
    <row r="16">
      <c r="A16" s="0">
        <v>12</v>
      </c>
      <c r="B16" s="0" t="inlineStr">
        <is>
          <t xml:space="preserve">GOBLIN</t>
        </is>
      </c>
      <c r="C16" s="0" t="inlineStr">
        <is>
          <t xml:space="preserve">Dondoran Flats</t>
        </is>
      </c>
      <c r="D16" s="0">
        <f>IFERROR(INDEX(Areas!$C:$C,MATCH($C16,Areas!$B:$B,0)),"")</f>
      </c>
      <c r="E16" s="0">
        <v>83</v>
      </c>
      <c r="F16" s="0">
        <v>20</v>
      </c>
      <c r="G16" s="0">
        <v>12</v>
      </c>
      <c r="H16" s="0">
        <v>19</v>
      </c>
      <c r="I16" s="0">
        <v>9</v>
      </c>
      <c r="J16" s="0">
        <v>0</v>
      </c>
      <c r="K16" s="0" t="inlineStr">
        <is>
          <t xml:space="preserve">N</t>
        </is>
      </c>
      <c r="L16" s="2" t="inlineStr">
        <is>
          <t xml:space="preserve">N</t>
        </is>
      </c>
      <c r="M16" s="7">
        <f>E16*(1+G16/Settings!$B$9)</f>
      </c>
      <c r="N16" s="7">
        <f>F16*(1+H16/Settings!$B$10)</f>
      </c>
      <c r="O16" s="7">
        <f>ROUND(SQRT(M16*N16),1)</f>
      </c>
      <c r="P16" s="0">
        <f>1+COUNTIF(Settings!$B$13:$B$19,"&lt;="&amp;O16)</f>
      </c>
      <c r="Q16" s="0">
        <f>IF(AND(L16="Y",Settings!$B$8="Y"),D16,MAX(1,D16-Settings!$B$5))</f>
      </c>
      <c r="R16" s="0">
        <f>MIN(8,D16+Settings!$B$4)</f>
      </c>
      <c r="S16" s="0" t="inlineStr">
        <is>
          <t xml:space="preserve">B6337C</t>
        </is>
      </c>
    </row>
    <row r="17">
      <c r="A17" s="0">
        <v>13</v>
      </c>
      <c r="B17" s="0" t="inlineStr">
        <is>
          <t xml:space="preserve">FROG KING</t>
        </is>
      </c>
      <c r="C17" s="0" t="inlineStr">
        <is>
          <t xml:space="preserve">Dondoran Flats</t>
        </is>
      </c>
      <c r="D17" s="0">
        <f>IFERROR(INDEX(Areas!$C:$C,MATCH($C17,Areas!$B:$B,0)),"")</f>
      </c>
      <c r="E17" s="0">
        <v>108</v>
      </c>
      <c r="F17" s="0">
        <v>9</v>
      </c>
      <c r="G17" s="0">
        <v>11</v>
      </c>
      <c r="H17" s="0">
        <v>18</v>
      </c>
      <c r="I17" s="0">
        <v>12</v>
      </c>
      <c r="J17" s="0">
        <v>2</v>
      </c>
      <c r="K17" s="0" t="inlineStr">
        <is>
          <t xml:space="preserve">N</t>
        </is>
      </c>
      <c r="L17" s="2" t="inlineStr">
        <is>
          <t xml:space="preserve">N</t>
        </is>
      </c>
      <c r="M17" s="7">
        <f>E17*(1+G17/Settings!$B$9)</f>
      </c>
      <c r="N17" s="7">
        <f>F17*(1+H17/Settings!$B$10)</f>
      </c>
      <c r="O17" s="7">
        <f>ROUND(SQRT(M17*N17),1)</f>
      </c>
      <c r="P17" s="0">
        <f>1+COUNTIF(Settings!$B$13:$B$19,"&lt;="&amp;O17)</f>
      </c>
      <c r="Q17" s="0">
        <f>IF(AND(L17="Y",Settings!$B$8="Y"),D17,MAX(1,D17-Settings!$B$5))</f>
      </c>
      <c r="R17" s="0">
        <f>MIN(8,D17+Settings!$B$4)</f>
      </c>
      <c r="S17" s="0" t="inlineStr">
        <is>
          <t xml:space="preserve">B633B4</t>
        </is>
      </c>
    </row>
    <row r="18">
      <c r="A18" s="0">
        <v>14</v>
      </c>
      <c r="B18" s="0" t="inlineStr">
        <is>
          <t xml:space="preserve">APOPHIS</t>
        </is>
      </c>
      <c r="C18" s="0" t="inlineStr">
        <is>
          <t xml:space="preserve">Dondoran Flats</t>
        </is>
      </c>
      <c r="D18" s="0">
        <f>IFERROR(INDEX(Areas!$C:$C,MATCH($C18,Areas!$B:$B,0)),"")</f>
      </c>
      <c r="E18" s="0">
        <v>128</v>
      </c>
      <c r="F18" s="0">
        <v>14</v>
      </c>
      <c r="G18" s="0">
        <v>12</v>
      </c>
      <c r="H18" s="0">
        <v>21</v>
      </c>
      <c r="I18" s="0">
        <v>15</v>
      </c>
      <c r="J18" s="0">
        <v>3</v>
      </c>
      <c r="K18" s="0" t="inlineStr">
        <is>
          <t xml:space="preserve">N</t>
        </is>
      </c>
      <c r="L18" s="2" t="inlineStr">
        <is>
          <t xml:space="preserve">N</t>
        </is>
      </c>
      <c r="M18" s="7">
        <f>E18*(1+G18/Settings!$B$9)</f>
      </c>
      <c r="N18" s="7">
        <f>F18*(1+H18/Settings!$B$10)</f>
      </c>
      <c r="O18" s="7">
        <f>ROUND(SQRT(M18*N18),1)</f>
      </c>
      <c r="P18" s="0">
        <f>1+COUNTIF(Settings!$B$13:$B$19,"&lt;="&amp;O18)</f>
      </c>
      <c r="Q18" s="0">
        <f>IF(AND(L18="Y",Settings!$B$8="Y"),D18,MAX(1,D18-Settings!$B$5))</f>
      </c>
      <c r="R18" s="0">
        <f>MIN(8,D18+Settings!$B$4)</f>
      </c>
      <c r="S18" s="0" t="inlineStr">
        <is>
          <t xml:space="preserve">B633EC</t>
        </is>
      </c>
    </row>
    <row r="19">
      <c r="A19" s="0">
        <v>15</v>
      </c>
      <c r="B19" s="0" t="inlineStr">
        <is>
          <t xml:space="preserve">MAD DOLL</t>
        </is>
      </c>
      <c r="C19" s="0" t="inlineStr">
        <is>
          <t xml:space="preserve">Dondoran Flats</t>
        </is>
      </c>
      <c r="D19" s="0">
        <f>IFERROR(INDEX(Areas!$C:$C,MATCH($C19,Areas!$B:$B,0)),"")</f>
      </c>
      <c r="E19" s="0">
        <v>70</v>
      </c>
      <c r="F19" s="0">
        <v>10</v>
      </c>
      <c r="G19" s="0">
        <v>11</v>
      </c>
      <c r="H19" s="0">
        <v>17</v>
      </c>
      <c r="I19" s="0">
        <v>8</v>
      </c>
      <c r="J19" s="0">
        <v>1</v>
      </c>
      <c r="K19" s="0" t="inlineStr">
        <is>
          <t xml:space="preserve">N</t>
        </is>
      </c>
      <c r="L19" s="2" t="inlineStr">
        <is>
          <t xml:space="preserve">N</t>
        </is>
      </c>
      <c r="M19" s="7">
        <f>E19*(1+G19/Settings!$B$9)</f>
      </c>
      <c r="N19" s="7">
        <f>F19*(1+H19/Settings!$B$10)</f>
      </c>
      <c r="O19" s="7">
        <f>ROUND(SQRT(M19*N19),1)</f>
      </c>
      <c r="P19" s="0">
        <f>1+COUNTIF(Settings!$B$13:$B$19,"&lt;="&amp;O19)</f>
      </c>
      <c r="Q19" s="0">
        <f>IF(AND(L19="Y",Settings!$B$8="Y"),D19,MAX(1,D19-Settings!$B$5))</f>
      </c>
      <c r="R19" s="0">
        <f>MIN(8,D19+Settings!$B$4)</f>
      </c>
      <c r="S19" s="0" t="inlineStr">
        <is>
          <t xml:space="preserve">B63424</t>
        </is>
      </c>
    </row>
    <row r="20">
      <c r="A20" s="0">
        <v>16</v>
      </c>
      <c r="B20" s="0" t="inlineStr">
        <is>
          <t xml:space="preserve">DEATH HUGGER</t>
        </is>
      </c>
      <c r="C20" s="0" t="inlineStr">
        <is>
          <t xml:space="preserve">Dondoran Flats</t>
        </is>
      </c>
      <c r="D20" s="0">
        <f>IFERROR(INDEX(Areas!$C:$C,MATCH($C20,Areas!$B:$B,0)),"")</f>
      </c>
      <c r="E20" s="0">
        <v>50</v>
      </c>
      <c r="F20" s="0">
        <v>10</v>
      </c>
      <c r="G20" s="0">
        <v>9</v>
      </c>
      <c r="H20" s="0">
        <v>20</v>
      </c>
      <c r="I20" s="0">
        <v>6</v>
      </c>
      <c r="J20" s="0">
        <v>3</v>
      </c>
      <c r="K20" s="0" t="inlineStr">
        <is>
          <t xml:space="preserve">N</t>
        </is>
      </c>
      <c r="L20" s="2" t="inlineStr">
        <is>
          <t xml:space="preserve">N</t>
        </is>
      </c>
      <c r="M20" s="7">
        <f>E20*(1+G20/Settings!$B$9)</f>
      </c>
      <c r="N20" s="7">
        <f>F20*(1+H20/Settings!$B$10)</f>
      </c>
      <c r="O20" s="7">
        <f>ROUND(SQRT(M20*N20),1)</f>
      </c>
      <c r="P20" s="0">
        <f>1+COUNTIF(Settings!$B$13:$B$19,"&lt;="&amp;O20)</f>
      </c>
      <c r="Q20" s="0">
        <f>IF(AND(L20="Y",Settings!$B$8="Y"),D20,MAX(1,D20-Settings!$B$5))</f>
      </c>
      <c r="R20" s="0">
        <f>MIN(8,D20+Settings!$B$4)</f>
      </c>
      <c r="S20" s="0" t="inlineStr">
        <is>
          <t xml:space="preserve">B6345C</t>
        </is>
      </c>
    </row>
    <row r="21">
      <c r="A21" s="0">
        <v>17</v>
      </c>
      <c r="B21" s="0" t="inlineStr">
        <is>
          <t xml:space="preserve">KOBOLD</t>
        </is>
      </c>
      <c r="C21" s="0" t="inlineStr">
        <is>
          <t xml:space="preserve">Connor Forest</t>
        </is>
      </c>
      <c r="D21" s="0">
        <f>IFERROR(INDEX(Areas!$C:$C,MATCH($C21,Areas!$B:$B,0)),"")</f>
      </c>
      <c r="E21" s="0">
        <v>40</v>
      </c>
      <c r="F21" s="0">
        <v>7</v>
      </c>
      <c r="G21" s="0">
        <v>6</v>
      </c>
      <c r="H21" s="0">
        <v>16</v>
      </c>
      <c r="I21" s="0">
        <v>5</v>
      </c>
      <c r="J21" s="0">
        <v>3</v>
      </c>
      <c r="K21" s="0" t="inlineStr">
        <is>
          <t xml:space="preserve">N</t>
        </is>
      </c>
      <c r="L21" s="2" t="inlineStr">
        <is>
          <t xml:space="preserve">N</t>
        </is>
      </c>
      <c r="M21" s="7">
        <f>E21*(1+G21/Settings!$B$9)</f>
      </c>
      <c r="N21" s="7">
        <f>F21*(1+H21/Settings!$B$10)</f>
      </c>
      <c r="O21" s="7">
        <f>ROUND(SQRT(M21*N21),1)</f>
      </c>
      <c r="P21" s="0">
        <f>1+COUNTIF(Settings!$B$13:$B$19,"&lt;="&amp;O21)</f>
      </c>
      <c r="Q21" s="0">
        <f>IF(AND(L21="Y",Settings!$B$8="Y"),D21,MAX(1,D21-Settings!$B$5))</f>
      </c>
      <c r="R21" s="0">
        <f>MIN(8,D21+Settings!$B$4)</f>
      </c>
      <c r="S21" s="0" t="inlineStr">
        <is>
          <t xml:space="preserve">B63494</t>
        </is>
      </c>
    </row>
    <row r="22">
      <c r="A22" s="0">
        <v>18</v>
      </c>
      <c r="B22" s="0" t="inlineStr">
        <is>
          <t xml:space="preserve">MAN TRAP</t>
        </is>
      </c>
      <c r="C22" s="0" t="inlineStr">
        <is>
          <t xml:space="preserve">Connor Forest</t>
        </is>
      </c>
      <c r="D22" s="0">
        <f>IFERROR(INDEX(Areas!$C:$C,MATCH($C22,Areas!$B:$B,0)),"")</f>
      </c>
      <c r="E22" s="0">
        <v>65</v>
      </c>
      <c r="F22" s="0">
        <v>11</v>
      </c>
      <c r="G22" s="0">
        <v>4</v>
      </c>
      <c r="H22" s="0">
        <v>8</v>
      </c>
      <c r="I22" s="0">
        <v>8</v>
      </c>
      <c r="J22" s="0">
        <v>1</v>
      </c>
      <c r="K22" s="0" t="inlineStr">
        <is>
          <t xml:space="preserve">N</t>
        </is>
      </c>
      <c r="L22" s="2" t="inlineStr">
        <is>
          <t xml:space="preserve">N</t>
        </is>
      </c>
      <c r="M22" s="7">
        <f>E22*(1+G22/Settings!$B$9)</f>
      </c>
      <c r="N22" s="7">
        <f>F22*(1+H22/Settings!$B$10)</f>
      </c>
      <c r="O22" s="7">
        <f>ROUND(SQRT(M22*N22),1)</f>
      </c>
      <c r="P22" s="0">
        <f>1+COUNTIF(Settings!$B$13:$B$19,"&lt;="&amp;O22)</f>
      </c>
      <c r="Q22" s="0">
        <f>IF(AND(L22="Y",Settings!$B$8="Y"),D22,MAX(1,D22-Settings!$B$5))</f>
      </c>
      <c r="R22" s="0">
        <f>MIN(8,D22+Settings!$B$4)</f>
      </c>
      <c r="S22" s="0" t="inlineStr">
        <is>
          <t xml:space="preserve">B634CC</t>
        </is>
      </c>
    </row>
    <row r="23">
      <c r="A23" s="0">
        <v>19</v>
      </c>
      <c r="B23" s="0" t="inlineStr">
        <is>
          <t xml:space="preserve">BAT</t>
        </is>
      </c>
      <c r="C23" s="0" t="inlineStr">
        <is>
          <t xml:space="preserve">Connor Forest</t>
        </is>
      </c>
      <c r="D23" s="0">
        <f>IFERROR(INDEX(Areas!$C:$C,MATCH($C23,Areas!$B:$B,0)),"")</f>
      </c>
      <c r="E23" s="0">
        <v>24</v>
      </c>
      <c r="F23" s="0">
        <v>5</v>
      </c>
      <c r="G23" s="0">
        <v>3</v>
      </c>
      <c r="H23" s="0">
        <v>11</v>
      </c>
      <c r="I23" s="0">
        <v>4</v>
      </c>
      <c r="J23" s="0">
        <v>3</v>
      </c>
      <c r="K23" s="0" t="inlineStr">
        <is>
          <t xml:space="preserve">N</t>
        </is>
      </c>
      <c r="L23" s="2" t="inlineStr">
        <is>
          <t xml:space="preserve">N</t>
        </is>
      </c>
      <c r="M23" s="7">
        <f>E23*(1+G23/Settings!$B$9)</f>
      </c>
      <c r="N23" s="7">
        <f>F23*(1+H23/Settings!$B$10)</f>
      </c>
      <c r="O23" s="7">
        <f>ROUND(SQRT(M23*N23),1)</f>
      </c>
      <c r="P23" s="0">
        <f>1+COUNTIF(Settings!$B$13:$B$19,"&lt;="&amp;O23)</f>
      </c>
      <c r="Q23" s="0">
        <f>IF(AND(L23="Y",Settings!$B$8="Y"),D23,MAX(1,D23-Settings!$B$5))</f>
      </c>
      <c r="R23" s="0">
        <f>MIN(8,D23+Settings!$B$4)</f>
      </c>
      <c r="S23" s="0" t="inlineStr">
        <is>
          <t xml:space="preserve">B63504</t>
        </is>
      </c>
    </row>
    <row r="24">
      <c r="A24" s="0">
        <v>20</v>
      </c>
      <c r="B24" s="0" t="inlineStr">
        <is>
          <t xml:space="preserve">FROG KNIGHT</t>
        </is>
      </c>
      <c r="C24" s="0" t="inlineStr">
        <is>
          <t xml:space="preserve">Connor Forest</t>
        </is>
      </c>
      <c r="D24" s="0">
        <f>IFERROR(INDEX(Areas!$C:$C,MATCH($C24,Areas!$B:$B,0)),"")</f>
      </c>
      <c r="E24" s="0">
        <v>38</v>
      </c>
      <c r="F24" s="0">
        <v>5</v>
      </c>
      <c r="G24" s="0">
        <v>8</v>
      </c>
      <c r="H24" s="0">
        <v>10</v>
      </c>
      <c r="I24" s="0">
        <v>6</v>
      </c>
      <c r="J24" s="0">
        <v>2</v>
      </c>
      <c r="K24" s="0" t="inlineStr">
        <is>
          <t xml:space="preserve">N</t>
        </is>
      </c>
      <c r="L24" s="2" t="inlineStr">
        <is>
          <t xml:space="preserve">N</t>
        </is>
      </c>
      <c r="M24" s="7">
        <f>E24*(1+G24/Settings!$B$9)</f>
      </c>
      <c r="N24" s="7">
        <f>F24*(1+H24/Settings!$B$10)</f>
      </c>
      <c r="O24" s="7">
        <f>ROUND(SQRT(M24*N24),1)</f>
      </c>
      <c r="P24" s="0">
        <f>1+COUNTIF(Settings!$B$13:$B$19,"&lt;="&amp;O24)</f>
      </c>
      <c r="Q24" s="0">
        <f>IF(AND(L24="Y",Settings!$B$8="Y"),D24,MAX(1,D24-Settings!$B$5))</f>
      </c>
      <c r="R24" s="0">
        <f>MIN(8,D24+Settings!$B$4)</f>
      </c>
      <c r="S24" s="0" t="inlineStr">
        <is>
          <t xml:space="preserve">B6353C</t>
        </is>
      </c>
    </row>
    <row r="25">
      <c r="A25" s="0">
        <v>21</v>
      </c>
      <c r="B25" s="0" t="inlineStr">
        <is>
          <t xml:space="preserve">MARIONASTY</t>
        </is>
      </c>
      <c r="C25" s="0" t="inlineStr">
        <is>
          <t xml:space="preserve">Connor Forest</t>
        </is>
      </c>
      <c r="D25" s="0">
        <f>IFERROR(INDEX(Areas!$C:$C,MATCH($C25,Areas!$B:$B,0)),"")</f>
      </c>
      <c r="E25" s="0">
        <v>28</v>
      </c>
      <c r="F25" s="0">
        <v>6</v>
      </c>
      <c r="G25" s="0">
        <v>6</v>
      </c>
      <c r="H25" s="0">
        <v>10</v>
      </c>
      <c r="I25" s="0">
        <v>4</v>
      </c>
      <c r="J25" s="0">
        <v>1</v>
      </c>
      <c r="K25" s="0" t="inlineStr">
        <is>
          <t xml:space="preserve">N</t>
        </is>
      </c>
      <c r="L25" s="2" t="inlineStr">
        <is>
          <t xml:space="preserve">N</t>
        </is>
      </c>
      <c r="M25" s="7">
        <f>E25*(1+G25/Settings!$B$9)</f>
      </c>
      <c r="N25" s="7">
        <f>F25*(1+H25/Settings!$B$10)</f>
      </c>
      <c r="O25" s="7">
        <f>ROUND(SQRT(M25*N25),1)</f>
      </c>
      <c r="P25" s="0">
        <f>1+COUNTIF(Settings!$B$13:$B$19,"&lt;="&amp;O25)</f>
      </c>
      <c r="Q25" s="0">
        <f>IF(AND(L25="Y",Settings!$B$8="Y"),D25,MAX(1,D25-Settings!$B$5))</f>
      </c>
      <c r="R25" s="0">
        <f>MIN(8,D25+Settings!$B$4)</f>
      </c>
      <c r="S25" s="0" t="inlineStr">
        <is>
          <t xml:space="preserve">B63574</t>
        </is>
      </c>
    </row>
    <row r="26">
      <c r="A26" s="0">
        <v>22</v>
      </c>
      <c r="B26" s="0" t="inlineStr">
        <is>
          <t xml:space="preserve">DARK GOBLIN</t>
        </is>
      </c>
      <c r="C26" s="0" t="inlineStr">
        <is>
          <t xml:space="preserve">Glencoe Forest</t>
        </is>
      </c>
      <c r="D26" s="0">
        <f>IFERROR(INDEX(Areas!$C:$C,MATCH($C26,Areas!$B:$B,0)),"")</f>
      </c>
      <c r="E26" s="0">
        <v>80</v>
      </c>
      <c r="F26" s="0">
        <v>12</v>
      </c>
      <c r="G26" s="0">
        <v>14</v>
      </c>
      <c r="H26" s="0">
        <v>35</v>
      </c>
      <c r="I26" s="0">
        <v>20</v>
      </c>
      <c r="J26" s="0">
        <v>3</v>
      </c>
      <c r="K26" s="0" t="inlineStr">
        <is>
          <t xml:space="preserve">N</t>
        </is>
      </c>
      <c r="L26" s="2" t="inlineStr">
        <is>
          <t xml:space="preserve">N</t>
        </is>
      </c>
      <c r="M26" s="7">
        <f>E26*(1+G26/Settings!$B$9)</f>
      </c>
      <c r="N26" s="7">
        <f>F26*(1+H26/Settings!$B$10)</f>
      </c>
      <c r="O26" s="7">
        <f>ROUND(SQRT(M26*N26),1)</f>
      </c>
      <c r="P26" s="0">
        <f>1+COUNTIF(Settings!$B$13:$B$19,"&lt;="&amp;O26)</f>
      </c>
      <c r="Q26" s="0">
        <f>IF(AND(L26="Y",Settings!$B$8="Y"),D26,MAX(1,D26-Settings!$B$5))</f>
      </c>
      <c r="R26" s="0">
        <f>MIN(8,D26+Settings!$B$4)</f>
      </c>
      <c r="S26" s="0" t="inlineStr">
        <is>
          <t xml:space="preserve">B635AC</t>
        </is>
      </c>
    </row>
    <row r="27">
      <c r="A27" s="0">
        <v>23</v>
      </c>
      <c r="B27" s="0" t="inlineStr">
        <is>
          <t xml:space="preserve">HOT LIPS</t>
        </is>
      </c>
      <c r="C27" s="0" t="inlineStr">
        <is>
          <t xml:space="preserve">Glencoe Forest</t>
        </is>
      </c>
      <c r="D27" s="0">
        <f>IFERROR(INDEX(Areas!$C:$C,MATCH($C27,Areas!$B:$B,0)),"")</f>
      </c>
      <c r="E27" s="0">
        <v>125</v>
      </c>
      <c r="F27" s="0">
        <v>14</v>
      </c>
      <c r="G27" s="0">
        <v>6</v>
      </c>
      <c r="H27" s="0">
        <v>30</v>
      </c>
      <c r="I27" s="0">
        <v>24</v>
      </c>
      <c r="J27" s="0">
        <v>0</v>
      </c>
      <c r="K27" s="0" t="inlineStr">
        <is>
          <t xml:space="preserve">N</t>
        </is>
      </c>
      <c r="L27" s="2" t="inlineStr">
        <is>
          <t xml:space="preserve">N</t>
        </is>
      </c>
      <c r="M27" s="7">
        <f>E27*(1+G27/Settings!$B$9)</f>
      </c>
      <c r="N27" s="7">
        <f>F27*(1+H27/Settings!$B$10)</f>
      </c>
      <c r="O27" s="7">
        <f>ROUND(SQRT(M27*N27),1)</f>
      </c>
      <c r="P27" s="0">
        <f>1+COUNTIF(Settings!$B$13:$B$19,"&lt;="&amp;O27)</f>
      </c>
      <c r="Q27" s="0">
        <f>IF(AND(L27="Y",Settings!$B$8="Y"),D27,MAX(1,D27-Settings!$B$5))</f>
      </c>
      <c r="R27" s="0">
        <f>MIN(8,D27+Settings!$B$4)</f>
      </c>
      <c r="S27" s="0" t="inlineStr">
        <is>
          <t xml:space="preserve">B635E4</t>
        </is>
      </c>
    </row>
    <row r="28">
      <c r="A28" s="0">
        <v>24</v>
      </c>
      <c r="B28" s="0" t="inlineStr">
        <is>
          <t xml:space="preserve">GHOST STALKER</t>
        </is>
      </c>
      <c r="C28" s="0" t="inlineStr">
        <is>
          <t xml:space="preserve">Glencoe Forest</t>
        </is>
      </c>
      <c r="D28" s="0">
        <f>IFERROR(INDEX(Areas!$C:$C,MATCH($C28,Areas!$B:$B,0)),"")</f>
      </c>
      <c r="E28" s="0">
        <v>75</v>
      </c>
      <c r="F28" s="0">
        <v>11</v>
      </c>
      <c r="G28" s="0">
        <v>18</v>
      </c>
      <c r="H28" s="0">
        <v>28</v>
      </c>
      <c r="I28" s="0">
        <v>20</v>
      </c>
      <c r="J28" s="0">
        <v>1</v>
      </c>
      <c r="K28" s="0" t="inlineStr">
        <is>
          <t xml:space="preserve">N</t>
        </is>
      </c>
      <c r="L28" s="2" t="inlineStr">
        <is>
          <t xml:space="preserve">N</t>
        </is>
      </c>
      <c r="M28" s="7">
        <f>E28*(1+G28/Settings!$B$9)</f>
      </c>
      <c r="N28" s="7">
        <f>F28*(1+H28/Settings!$B$10)</f>
      </c>
      <c r="O28" s="7">
        <f>ROUND(SQRT(M28*N28),1)</f>
      </c>
      <c r="P28" s="0">
        <f>1+COUNTIF(Settings!$B$13:$B$19,"&lt;="&amp;O28)</f>
      </c>
      <c r="Q28" s="0">
        <f>IF(AND(L28="Y",Settings!$B$8="Y"),D28,MAX(1,D28-Settings!$B$5))</f>
      </c>
      <c r="R28" s="0">
        <f>MIN(8,D28+Settings!$B$4)</f>
      </c>
      <c r="S28" s="0" t="inlineStr">
        <is>
          <t xml:space="preserve">B6361C</t>
        </is>
      </c>
    </row>
    <row r="29">
      <c r="A29" s="0">
        <v>25</v>
      </c>
      <c r="B29" s="0" t="inlineStr">
        <is>
          <t xml:space="preserve">TREANT</t>
        </is>
      </c>
      <c r="C29" s="0" t="inlineStr">
        <is>
          <t xml:space="preserve">Glencoe Forest</t>
        </is>
      </c>
      <c r="D29" s="0">
        <f>IFERROR(INDEX(Areas!$C:$C,MATCH($C29,Areas!$B:$B,0)),"")</f>
      </c>
      <c r="E29" s="0">
        <v>160</v>
      </c>
      <c r="F29" s="0">
        <v>14</v>
      </c>
      <c r="G29" s="0">
        <v>7</v>
      </c>
      <c r="H29" s="0">
        <v>24</v>
      </c>
      <c r="I29" s="0">
        <v>28</v>
      </c>
      <c r="J29" s="0">
        <v>2</v>
      </c>
      <c r="K29" s="0" t="inlineStr">
        <is>
          <t xml:space="preserve">N</t>
        </is>
      </c>
      <c r="L29" s="2" t="inlineStr">
        <is>
          <t xml:space="preserve">N</t>
        </is>
      </c>
      <c r="M29" s="7">
        <f>E29*(1+G29/Settings!$B$9)</f>
      </c>
      <c r="N29" s="7">
        <f>F29*(1+H29/Settings!$B$10)</f>
      </c>
      <c r="O29" s="7">
        <f>ROUND(SQRT(M29*N29),1)</f>
      </c>
      <c r="P29" s="0">
        <f>1+COUNTIF(Settings!$B$13:$B$19,"&lt;="&amp;O29)</f>
      </c>
      <c r="Q29" s="0">
        <f>IF(AND(L29="Y",Settings!$B$8="Y"),D29,MAX(1,D29-Settings!$B$5))</f>
      </c>
      <c r="R29" s="0">
        <f>MIN(8,D29+Settings!$B$4)</f>
      </c>
      <c r="S29" s="0" t="inlineStr">
        <is>
          <t xml:space="preserve">B63654</t>
        </is>
      </c>
    </row>
    <row r="30">
      <c r="A30" s="0">
        <v>26</v>
      </c>
      <c r="B30" s="0" t="inlineStr">
        <is>
          <t xml:space="preserve">COCKATRICE</t>
        </is>
      </c>
      <c r="C30" s="0" t="inlineStr">
        <is>
          <t xml:space="preserve">Dondoran Flats</t>
        </is>
      </c>
      <c r="D30" s="0">
        <f>IFERROR(INDEX(Areas!$C:$C,MATCH($C30,Areas!$B:$B,0)),"")</f>
      </c>
      <c r="E30" s="0">
        <v>140</v>
      </c>
      <c r="F30" s="0">
        <v>19</v>
      </c>
      <c r="G30" s="0">
        <v>10</v>
      </c>
      <c r="H30" s="0">
        <v>16</v>
      </c>
      <c r="I30" s="0">
        <v>30</v>
      </c>
      <c r="J30" s="0">
        <v>1</v>
      </c>
      <c r="K30" s="0" t="inlineStr">
        <is>
          <t xml:space="preserve">N</t>
        </is>
      </c>
      <c r="L30" s="2" t="inlineStr">
        <is>
          <t xml:space="preserve">Y</t>
        </is>
      </c>
      <c r="M30" s="7">
        <f>E30*(1+G30/Settings!$B$9)</f>
      </c>
      <c r="N30" s="7">
        <f>F30*(1+H30/Settings!$B$10)</f>
      </c>
      <c r="O30" s="7">
        <f>ROUND(SQRT(M30*N30),1)</f>
      </c>
      <c r="P30" s="0">
        <f>1+COUNTIF(Settings!$B$13:$B$19,"&lt;="&amp;O30)</f>
      </c>
      <c r="Q30" s="0">
        <f>IF(AND(L30="Y",Settings!$B$8="Y"),D30,MAX(1,D30-Settings!$B$5))</f>
      </c>
      <c r="R30" s="0">
        <f>MIN(8,D30+Settings!$B$4)</f>
      </c>
      <c r="S30" s="0" t="inlineStr">
        <is>
          <t xml:space="preserve">B6368C</t>
        </is>
      </c>
    </row>
    <row r="31">
      <c r="A31" s="0">
        <v>27</v>
      </c>
      <c r="B31" s="0" t="inlineStr">
        <is>
          <t xml:space="preserve">MULTI OPTICS</t>
        </is>
      </c>
      <c r="C31" s="0" t="inlineStr">
        <is>
          <t xml:space="preserve">Blue Cave</t>
        </is>
      </c>
      <c r="D31" s="0">
        <f>IFERROR(INDEX(Areas!$C:$C,MATCH($C31,Areas!$B:$B,0)),"")</f>
      </c>
      <c r="E31" s="0">
        <v>175</v>
      </c>
      <c r="F31" s="0">
        <v>28</v>
      </c>
      <c r="G31" s="0">
        <v>23</v>
      </c>
      <c r="H31" s="0">
        <v>56</v>
      </c>
      <c r="I31" s="0">
        <v>72</v>
      </c>
      <c r="J31" s="0">
        <v>2</v>
      </c>
      <c r="K31" s="0" t="inlineStr">
        <is>
          <t xml:space="preserve">N</t>
        </is>
      </c>
      <c r="L31" s="2" t="inlineStr">
        <is>
          <t xml:space="preserve">N</t>
        </is>
      </c>
      <c r="M31" s="7">
        <f>E31*(1+G31/Settings!$B$9)</f>
      </c>
      <c r="N31" s="7">
        <f>F31*(1+H31/Settings!$B$10)</f>
      </c>
      <c r="O31" s="7">
        <f>ROUND(SQRT(M31*N31),1)</f>
      </c>
      <c r="P31" s="0">
        <f>1+COUNTIF(Settings!$B$13:$B$19,"&lt;="&amp;O31)</f>
      </c>
      <c r="Q31" s="0">
        <f>IF(AND(L31="Y",Settings!$B$8="Y"),D31,MAX(1,D31-Settings!$B$5))</f>
      </c>
      <c r="R31" s="0">
        <f>MIN(8,D31+Settings!$B$4)</f>
      </c>
      <c r="S31" s="0" t="inlineStr">
        <is>
          <t xml:space="preserve">BBDE9C</t>
        </is>
      </c>
    </row>
    <row r="32">
      <c r="A32" s="0">
        <v>28</v>
      </c>
      <c r="B32" s="0" t="inlineStr">
        <is>
          <t xml:space="preserve">MIMIC</t>
        </is>
      </c>
      <c r="C32" s="0" t="inlineStr">
        <is>
          <t xml:space="preserve">Cull Hazard</t>
        </is>
      </c>
      <c r="D32" s="0">
        <f>IFERROR(INDEX(Areas!$C:$C,MATCH($C32,Areas!$B:$B,0)),"")</f>
      </c>
      <c r="E32" s="0">
        <v>143</v>
      </c>
      <c r="F32" s="0">
        <v>26</v>
      </c>
      <c r="G32" s="0">
        <v>26</v>
      </c>
      <c r="H32" s="0">
        <v>45</v>
      </c>
      <c r="I32" s="0">
        <v>65</v>
      </c>
      <c r="J32" s="0">
        <v>2</v>
      </c>
      <c r="K32" s="0" t="inlineStr">
        <is>
          <t xml:space="preserve">N</t>
        </is>
      </c>
      <c r="L32" s="2" t="inlineStr">
        <is>
          <t xml:space="preserve">N</t>
        </is>
      </c>
      <c r="M32" s="7">
        <f>E32*(1+G32/Settings!$B$9)</f>
      </c>
      <c r="N32" s="7">
        <f>F32*(1+H32/Settings!$B$10)</f>
      </c>
      <c r="O32" s="7">
        <f>ROUND(SQRT(M32*N32),1)</f>
      </c>
      <c r="P32" s="0">
        <f>1+COUNTIF(Settings!$B$13:$B$19,"&lt;="&amp;O32)</f>
      </c>
      <c r="Q32" s="0">
        <f>IF(AND(L32="Y",Settings!$B$8="Y"),D32,MAX(1,D32-Settings!$B$5))</f>
      </c>
      <c r="R32" s="0">
        <f>MIN(8,D32+Settings!$B$4)</f>
      </c>
      <c r="S32" s="0" t="inlineStr">
        <is>
          <t xml:space="preserve">BBDED4</t>
        </is>
      </c>
    </row>
    <row r="33">
      <c r="A33" s="0">
        <v>29</v>
      </c>
      <c r="B33" s="0" t="inlineStr">
        <is>
          <t xml:space="preserve">CRAWLER</t>
        </is>
      </c>
      <c r="C33" s="0" t="inlineStr">
        <is>
          <t xml:space="preserve">Blue Cave</t>
        </is>
      </c>
      <c r="D33" s="0">
        <f>IFERROR(INDEX(Areas!$C:$C,MATCH($C33,Areas!$B:$B,0)),"")</f>
      </c>
      <c r="E33" s="0">
        <v>150</v>
      </c>
      <c r="F33" s="0">
        <v>18</v>
      </c>
      <c r="G33" s="0">
        <v>20</v>
      </c>
      <c r="H33" s="0">
        <v>53</v>
      </c>
      <c r="I33" s="0">
        <v>70</v>
      </c>
      <c r="J33" s="0">
        <v>2</v>
      </c>
      <c r="K33" s="0" t="inlineStr">
        <is>
          <t xml:space="preserve">N</t>
        </is>
      </c>
      <c r="L33" s="2" t="inlineStr">
        <is>
          <t xml:space="preserve">N</t>
        </is>
      </c>
      <c r="M33" s="7">
        <f>E33*(1+G33/Settings!$B$9)</f>
      </c>
      <c r="N33" s="7">
        <f>F33*(1+H33/Settings!$B$10)</f>
      </c>
      <c r="O33" s="7">
        <f>ROUND(SQRT(M33*N33),1)</f>
      </c>
      <c r="P33" s="0">
        <f>1+COUNTIF(Settings!$B$13:$B$19,"&lt;="&amp;O33)</f>
      </c>
      <c r="Q33" s="0">
        <f>IF(AND(L33="Y",Settings!$B$8="Y"),D33,MAX(1,D33-Settings!$B$5))</f>
      </c>
      <c r="R33" s="0">
        <f>MIN(8,D33+Settings!$B$4)</f>
      </c>
      <c r="S33" s="0" t="inlineStr">
        <is>
          <t xml:space="preserve">BBDF0C</t>
        </is>
      </c>
    </row>
    <row r="34">
      <c r="A34" s="0">
        <v>30</v>
      </c>
      <c r="B34" s="0" t="inlineStr">
        <is>
          <t xml:space="preserve">SCORPION</t>
        </is>
      </c>
      <c r="C34" s="0" t="inlineStr">
        <is>
          <t xml:space="preserve">Blue Cave</t>
        </is>
      </c>
      <c r="D34" s="0">
        <f>IFERROR(INDEX(Areas!$C:$C,MATCH($C34,Areas!$B:$B,0)),"")</f>
      </c>
      <c r="E34" s="0">
        <v>175</v>
      </c>
      <c r="F34" s="0">
        <v>28</v>
      </c>
      <c r="G34" s="0">
        <v>19</v>
      </c>
      <c r="H34" s="0">
        <v>62</v>
      </c>
      <c r="I34" s="0">
        <v>80</v>
      </c>
      <c r="J34" s="0">
        <v>2</v>
      </c>
      <c r="K34" s="0" t="inlineStr">
        <is>
          <t xml:space="preserve">N</t>
        </is>
      </c>
      <c r="L34" s="2" t="inlineStr">
        <is>
          <t xml:space="preserve">N</t>
        </is>
      </c>
      <c r="M34" s="7">
        <f>E34*(1+G34/Settings!$B$9)</f>
      </c>
      <c r="N34" s="7">
        <f>F34*(1+H34/Settings!$B$10)</f>
      </c>
      <c r="O34" s="7">
        <f>ROUND(SQRT(M34*N34),1)</f>
      </c>
      <c r="P34" s="0">
        <f>1+COUNTIF(Settings!$B$13:$B$19,"&lt;="&amp;O34)</f>
      </c>
      <c r="Q34" s="0">
        <f>IF(AND(L34="Y",Settings!$B$8="Y"),D34,MAX(1,D34-Settings!$B$5))</f>
      </c>
      <c r="R34" s="0">
        <f>MIN(8,D34+Settings!$B$4)</f>
      </c>
      <c r="S34" s="0" t="inlineStr">
        <is>
          <t xml:space="preserve">BBDF44</t>
        </is>
      </c>
    </row>
    <row r="35">
      <c r="A35" s="0">
        <v>31</v>
      </c>
      <c r="B35" s="0" t="inlineStr">
        <is>
          <t xml:space="preserve">SCARE CROW</t>
        </is>
      </c>
      <c r="C35" s="0" t="inlineStr">
        <is>
          <t xml:space="preserve">Cull Hazard</t>
        </is>
      </c>
      <c r="D35" s="0">
        <f>IFERROR(INDEX(Areas!$C:$C,MATCH($C35,Areas!$B:$B,0)),"")</f>
      </c>
      <c r="E35" s="0">
        <v>120</v>
      </c>
      <c r="F35" s="0">
        <v>19</v>
      </c>
      <c r="G35" s="0">
        <v>10</v>
      </c>
      <c r="H35" s="0">
        <v>38</v>
      </c>
      <c r="I35" s="0">
        <v>42</v>
      </c>
      <c r="J35" s="0">
        <v>3</v>
      </c>
      <c r="K35" s="0" t="inlineStr">
        <is>
          <t xml:space="preserve">N</t>
        </is>
      </c>
      <c r="L35" s="2" t="inlineStr">
        <is>
          <t xml:space="preserve">N</t>
        </is>
      </c>
      <c r="M35" s="7">
        <f>E35*(1+G35/Settings!$B$9)</f>
      </c>
      <c r="N35" s="7">
        <f>F35*(1+H35/Settings!$B$10)</f>
      </c>
      <c r="O35" s="7">
        <f>ROUND(SQRT(M35*N35),1)</f>
      </c>
      <c r="P35" s="0">
        <f>1+COUNTIF(Settings!$B$13:$B$19,"&lt;="&amp;O35)</f>
      </c>
      <c r="Q35" s="0">
        <f>IF(AND(L35="Y",Settings!$B$8="Y"),D35,MAX(1,D35-Settings!$B$5))</f>
      </c>
      <c r="R35" s="0">
        <f>MIN(8,D35+Settings!$B$4)</f>
      </c>
      <c r="S35" s="0" t="inlineStr">
        <is>
          <t xml:space="preserve">BBDF7C</t>
        </is>
      </c>
    </row>
    <row r="36">
      <c r="A36" s="0">
        <v>32</v>
      </c>
      <c r="B36" s="0" t="inlineStr">
        <is>
          <t xml:space="preserve">WYVERN</t>
        </is>
      </c>
      <c r="C36" s="0" t="inlineStr">
        <is>
          <t xml:space="preserve">Cull Hazard</t>
        </is>
      </c>
      <c r="D36" s="0">
        <f>IFERROR(INDEX(Areas!$C:$C,MATCH($C36,Areas!$B:$B,0)),"")</f>
      </c>
      <c r="E36" s="0">
        <v>310</v>
      </c>
      <c r="F36" s="0">
        <v>20</v>
      </c>
      <c r="G36" s="0">
        <v>15</v>
      </c>
      <c r="H36" s="0">
        <v>54</v>
      </c>
      <c r="I36" s="0">
        <v>62</v>
      </c>
      <c r="J36" s="0">
        <v>3</v>
      </c>
      <c r="K36" s="0" t="inlineStr">
        <is>
          <t xml:space="preserve">Y</t>
        </is>
      </c>
      <c r="L36" s="2" t="inlineStr">
        <is>
          <t xml:space="preserve">N</t>
        </is>
      </c>
      <c r="M36" s="7">
        <f>E36*(1+G36/Settings!$B$9)</f>
      </c>
      <c r="N36" s="7">
        <f>F36*(1+H36/Settings!$B$10)</f>
      </c>
      <c r="O36" s="7">
        <f>ROUND(SQRT(M36*N36),1)</f>
      </c>
      <c r="P36" s="0">
        <f>1+COUNTIF(Settings!$B$13:$B$19,"&lt;="&amp;O36)</f>
      </c>
      <c r="Q36" s="0">
        <f>IF(AND(L36="Y",Settings!$B$8="Y"),D36,MAX(1,D36-Settings!$B$5))</f>
      </c>
      <c r="R36" s="0">
        <f>MIN(8,D36+Settings!$B$4)</f>
      </c>
      <c r="S36" s="0" t="inlineStr">
        <is>
          <t xml:space="preserve">BBDFB4</t>
        </is>
      </c>
    </row>
    <row r="37">
      <c r="A37" s="0">
        <v>33</v>
      </c>
      <c r="B37" s="0" t="inlineStr">
        <is>
          <t xml:space="preserve">SKELEBAT</t>
        </is>
      </c>
      <c r="C37" s="0" t="inlineStr">
        <is>
          <t xml:space="preserve">Cull Hazard</t>
        </is>
      </c>
      <c r="D37" s="0">
        <f>IFERROR(INDEX(Areas!$C:$C,MATCH($C37,Areas!$B:$B,0)),"")</f>
      </c>
      <c r="E37" s="0">
        <v>79</v>
      </c>
      <c r="F37" s="0">
        <v>15</v>
      </c>
      <c r="G37" s="0">
        <v>9</v>
      </c>
      <c r="H37" s="0">
        <v>46</v>
      </c>
      <c r="I37" s="0">
        <v>30</v>
      </c>
      <c r="J37" s="0">
        <v>3</v>
      </c>
      <c r="K37" s="0" t="inlineStr">
        <is>
          <t xml:space="preserve">N</t>
        </is>
      </c>
      <c r="L37" s="2" t="inlineStr">
        <is>
          <t xml:space="preserve">N</t>
        </is>
      </c>
      <c r="M37" s="7">
        <f>E37*(1+G37/Settings!$B$9)</f>
      </c>
      <c r="N37" s="7">
        <f>F37*(1+H37/Settings!$B$10)</f>
      </c>
      <c r="O37" s="7">
        <f>ROUND(SQRT(M37*N37),1)</f>
      </c>
      <c r="P37" s="0">
        <f>1+COUNTIF(Settings!$B$13:$B$19,"&lt;="&amp;O37)</f>
      </c>
      <c r="Q37" s="0">
        <f>IF(AND(L37="Y",Settings!$B$8="Y"),D37,MAX(1,D37-Settings!$B$5))</f>
      </c>
      <c r="R37" s="0">
        <f>MIN(8,D37+Settings!$B$4)</f>
      </c>
      <c r="S37" s="0" t="inlineStr">
        <is>
          <t xml:space="preserve">BBDFEC</t>
        </is>
      </c>
    </row>
    <row r="38">
      <c r="A38" s="0">
        <v>34</v>
      </c>
      <c r="B38" s="0" t="inlineStr">
        <is>
          <t xml:space="preserve">CRYSHELL</t>
        </is>
      </c>
      <c r="C38" s="0" t="inlineStr">
        <is>
          <t xml:space="preserve">East Limelin</t>
        </is>
      </c>
      <c r="D38" s="0">
        <f>IFERROR(INDEX(Areas!$C:$C,MATCH($C38,Areas!$B:$B,0)),"")</f>
      </c>
      <c r="E38" s="0">
        <v>275</v>
      </c>
      <c r="F38" s="0">
        <v>29</v>
      </c>
      <c r="G38" s="0">
        <v>32</v>
      </c>
      <c r="H38" s="0">
        <v>68</v>
      </c>
      <c r="I38" s="0">
        <v>155</v>
      </c>
      <c r="J38" s="0">
        <v>2</v>
      </c>
      <c r="K38" s="0" t="inlineStr">
        <is>
          <t xml:space="preserve">N</t>
        </is>
      </c>
      <c r="L38" s="2" t="inlineStr">
        <is>
          <t xml:space="preserve">N</t>
        </is>
      </c>
      <c r="M38" s="7">
        <f>E38*(1+G38/Settings!$B$9)</f>
      </c>
      <c r="N38" s="7">
        <f>F38*(1+H38/Settings!$B$10)</f>
      </c>
      <c r="O38" s="7">
        <f>ROUND(SQRT(M38*N38),1)</f>
      </c>
      <c r="P38" s="0">
        <f>1+COUNTIF(Settings!$B$13:$B$19,"&lt;="&amp;O38)</f>
      </c>
      <c r="Q38" s="0">
        <f>IF(AND(L38="Y",Settings!$B$8="Y"),D38,MAX(1,D38-Settings!$B$5))</f>
      </c>
      <c r="R38" s="0">
        <f>MIN(8,D38+Settings!$B$4)</f>
      </c>
      <c r="S38" s="0" t="inlineStr">
        <is>
          <t xml:space="preserve">BBE024</t>
        </is>
      </c>
    </row>
    <row r="39">
      <c r="A39" s="0">
        <v>35</v>
      </c>
      <c r="B39" s="0" t="inlineStr">
        <is>
          <t xml:space="preserve">BLOOD JELL</t>
        </is>
      </c>
      <c r="C39" s="0" t="inlineStr">
        <is>
          <t xml:space="preserve">Cull Hazard</t>
        </is>
      </c>
      <c r="D39" s="0">
        <f>IFERROR(INDEX(Areas!$C:$C,MATCH($C39,Areas!$B:$B,0)),"")</f>
      </c>
      <c r="E39" s="0">
        <v>97</v>
      </c>
      <c r="F39" s="0">
        <v>20</v>
      </c>
      <c r="G39" s="0">
        <v>11</v>
      </c>
      <c r="H39" s="0">
        <v>32</v>
      </c>
      <c r="I39" s="0">
        <v>40</v>
      </c>
      <c r="J39" s="0">
        <v>1</v>
      </c>
      <c r="K39" s="0" t="inlineStr">
        <is>
          <t xml:space="preserve">N</t>
        </is>
      </c>
      <c r="L39" s="2" t="inlineStr">
        <is>
          <t xml:space="preserve">N</t>
        </is>
      </c>
      <c r="M39" s="7">
        <f>E39*(1+G39/Settings!$B$9)</f>
      </c>
      <c r="N39" s="7">
        <f>F39*(1+H39/Settings!$B$10)</f>
      </c>
      <c r="O39" s="7">
        <f>ROUND(SQRT(M39*N39),1)</f>
      </c>
      <c r="P39" s="0">
        <f>1+COUNTIF(Settings!$B$13:$B$19,"&lt;="&amp;O39)</f>
      </c>
      <c r="Q39" s="0">
        <f>IF(AND(L39="Y",Settings!$B$8="Y"),D39,MAX(1,D39-Settings!$B$5))</f>
      </c>
      <c r="R39" s="0">
        <f>MIN(8,D39+Settings!$B$4)</f>
      </c>
      <c r="S39" s="0" t="inlineStr">
        <is>
          <t xml:space="preserve">BBE05C</t>
        </is>
      </c>
    </row>
    <row r="40">
      <c r="A40" s="0">
        <v>36</v>
      </c>
      <c r="B40" s="0" t="inlineStr">
        <is>
          <t xml:space="preserve">CATERPILLAR</t>
        </is>
      </c>
      <c r="C40" s="0" t="inlineStr">
        <is>
          <t xml:space="preserve">East Limelin</t>
        </is>
      </c>
      <c r="D40" s="0">
        <f>IFERROR(INDEX(Areas!$C:$C,MATCH($C40,Areas!$B:$B,0)),"")</f>
      </c>
      <c r="E40" s="0">
        <v>230</v>
      </c>
      <c r="F40" s="0">
        <v>27</v>
      </c>
      <c r="G40" s="0">
        <v>28</v>
      </c>
      <c r="H40" s="0">
        <v>65</v>
      </c>
      <c r="I40" s="0">
        <v>140</v>
      </c>
      <c r="J40" s="0">
        <v>0</v>
      </c>
      <c r="K40" s="0" t="inlineStr">
        <is>
          <t xml:space="preserve">N</t>
        </is>
      </c>
      <c r="L40" s="2" t="inlineStr">
        <is>
          <t xml:space="preserve">N</t>
        </is>
      </c>
      <c r="M40" s="7">
        <f>E40*(1+G40/Settings!$B$9)</f>
      </c>
      <c r="N40" s="7">
        <f>F40*(1+H40/Settings!$B$10)</f>
      </c>
      <c r="O40" s="7">
        <f>ROUND(SQRT(M40*N40),1)</f>
      </c>
      <c r="P40" s="0">
        <f>1+COUNTIF(Settings!$B$13:$B$19,"&lt;="&amp;O40)</f>
      </c>
      <c r="Q40" s="0">
        <f>IF(AND(L40="Y",Settings!$B$8="Y"),D40,MAX(1,D40-Settings!$B$5))</f>
      </c>
      <c r="R40" s="0">
        <f>MIN(8,D40+Settings!$B$4)</f>
      </c>
      <c r="S40" s="0" t="inlineStr">
        <is>
          <t xml:space="preserve">BBE094</t>
        </is>
      </c>
    </row>
    <row r="41">
      <c r="A41" s="0">
        <v>37</v>
      </c>
      <c r="B41" s="0" t="inlineStr">
        <is>
          <t xml:space="preserve">FISH MAN</t>
        </is>
      </c>
      <c r="C41" s="0" t="inlineStr">
        <is>
          <t xml:space="preserve">East Limelin</t>
        </is>
      </c>
      <c r="D41" s="0">
        <f>IFERROR(INDEX(Areas!$C:$C,MATCH($C41,Areas!$B:$B,0)),"")</f>
      </c>
      <c r="E41" s="0">
        <v>275</v>
      </c>
      <c r="F41" s="0">
        <v>35</v>
      </c>
      <c r="G41" s="0">
        <v>27</v>
      </c>
      <c r="H41" s="0">
        <v>27</v>
      </c>
      <c r="I41" s="0">
        <v>175</v>
      </c>
      <c r="J41" s="0">
        <v>2</v>
      </c>
      <c r="K41" s="0" t="inlineStr">
        <is>
          <t xml:space="preserve">N</t>
        </is>
      </c>
      <c r="L41" s="2" t="inlineStr">
        <is>
          <t xml:space="preserve">N</t>
        </is>
      </c>
      <c r="M41" s="7">
        <f>E41*(1+G41/Settings!$B$9)</f>
      </c>
      <c r="N41" s="7">
        <f>F41*(1+H41/Settings!$B$10)</f>
      </c>
      <c r="O41" s="7">
        <f>ROUND(SQRT(M41*N41),1)</f>
      </c>
      <c r="P41" s="0">
        <f>1+COUNTIF(Settings!$B$13:$B$19,"&lt;="&amp;O41)</f>
      </c>
      <c r="Q41" s="0">
        <f>IF(AND(L41="Y",Settings!$B$8="Y"),D41,MAX(1,D41-Settings!$B$5))</f>
      </c>
      <c r="R41" s="0">
        <f>MIN(8,D41+Settings!$B$4)</f>
      </c>
      <c r="S41" s="0" t="inlineStr">
        <is>
          <t xml:space="preserve">BBE0CC</t>
        </is>
      </c>
    </row>
    <row r="42">
      <c r="A42" s="0">
        <v>38</v>
      </c>
      <c r="B42" s="0" t="inlineStr">
        <is>
          <t xml:space="preserve">SANDMAN</t>
        </is>
      </c>
      <c r="C42" s="0" t="inlineStr">
        <is>
          <t xml:space="preserve">Dindom Dries</t>
        </is>
      </c>
      <c r="D42" s="0">
        <f>IFERROR(INDEX(Areas!$C:$C,MATCH($C42,Areas!$B:$B,0)),"")</f>
      </c>
      <c r="E42" s="0">
        <v>340</v>
      </c>
      <c r="F42" s="0">
        <v>40</v>
      </c>
      <c r="G42" s="0">
        <v>70</v>
      </c>
      <c r="H42" s="0">
        <v>80</v>
      </c>
      <c r="I42" s="0">
        <v>420</v>
      </c>
      <c r="J42" s="0">
        <v>1</v>
      </c>
      <c r="K42" s="0" t="inlineStr">
        <is>
          <t xml:space="preserve">N</t>
        </is>
      </c>
      <c r="L42" s="2" t="inlineStr">
        <is>
          <t xml:space="preserve">N</t>
        </is>
      </c>
      <c r="M42" s="7">
        <f>E42*(1+G42/Settings!$B$9)</f>
      </c>
      <c r="N42" s="7">
        <f>F42*(1+H42/Settings!$B$10)</f>
      </c>
      <c r="O42" s="7">
        <f>ROUND(SQRT(M42*N42),1)</f>
      </c>
      <c r="P42" s="0">
        <f>1+COUNTIF(Settings!$B$13:$B$19,"&lt;="&amp;O42)</f>
      </c>
      <c r="Q42" s="0">
        <f>IF(AND(L42="Y",Settings!$B$8="Y"),D42,MAX(1,D42-Settings!$B$5))</f>
      </c>
      <c r="R42" s="0">
        <f>MIN(8,D42+Settings!$B$4)</f>
      </c>
      <c r="S42" s="0" t="inlineStr">
        <is>
          <t xml:space="preserve">C317EC</t>
        </is>
      </c>
    </row>
    <row r="43">
      <c r="A43" s="0">
        <v>39</v>
      </c>
      <c r="B43" s="0" t="inlineStr">
        <is>
          <t xml:space="preserve">WERE CAT</t>
        </is>
      </c>
      <c r="C43" s="0" t="inlineStr">
        <is>
          <t xml:space="preserve">Dindom Dries</t>
        </is>
      </c>
      <c r="D43" s="0">
        <f>IFERROR(INDEX(Areas!$C:$C,MATCH($C43,Areas!$B:$B,0)),"")</f>
      </c>
      <c r="E43" s="0">
        <v>230</v>
      </c>
      <c r="F43" s="0">
        <v>32</v>
      </c>
      <c r="G43" s="0">
        <v>50</v>
      </c>
      <c r="H43" s="0">
        <v>95</v>
      </c>
      <c r="I43" s="0">
        <v>340</v>
      </c>
      <c r="J43" s="0">
        <v>0</v>
      </c>
      <c r="K43" s="0" t="inlineStr">
        <is>
          <t xml:space="preserve">N</t>
        </is>
      </c>
      <c r="L43" s="2" t="inlineStr">
        <is>
          <t xml:space="preserve">N</t>
        </is>
      </c>
      <c r="M43" s="7">
        <f>E43*(1+G43/Settings!$B$9)</f>
      </c>
      <c r="N43" s="7">
        <f>F43*(1+H43/Settings!$B$10)</f>
      </c>
      <c r="O43" s="7">
        <f>ROUND(SQRT(M43*N43),1)</f>
      </c>
      <c r="P43" s="0">
        <f>1+COUNTIF(Settings!$B$13:$B$19,"&lt;="&amp;O43)</f>
      </c>
      <c r="Q43" s="0">
        <f>IF(AND(L43="Y",Settings!$B$8="Y"),D43,MAX(1,D43-Settings!$B$5))</f>
      </c>
      <c r="R43" s="0">
        <f>MIN(8,D43+Settings!$B$4)</f>
      </c>
      <c r="S43" s="0" t="inlineStr">
        <is>
          <t xml:space="preserve">C31824</t>
        </is>
      </c>
    </row>
    <row r="44">
      <c r="A44" s="0">
        <v>40</v>
      </c>
      <c r="B44" s="0" t="inlineStr">
        <is>
          <t xml:space="preserve">NIGHTMARE</t>
        </is>
      </c>
      <c r="C44" s="0" t="inlineStr">
        <is>
          <t xml:space="preserve">Dindom Dries</t>
        </is>
      </c>
      <c r="D44" s="0">
        <f>IFERROR(INDEX(Areas!$C:$C,MATCH($C44,Areas!$B:$B,0)),"")</f>
      </c>
      <c r="E44" s="0">
        <v>245</v>
      </c>
      <c r="F44" s="0">
        <v>32</v>
      </c>
      <c r="G44" s="0">
        <v>56</v>
      </c>
      <c r="H44" s="0">
        <v>92</v>
      </c>
      <c r="I44" s="0">
        <v>290</v>
      </c>
      <c r="J44" s="0">
        <v>0</v>
      </c>
      <c r="K44" s="0" t="inlineStr">
        <is>
          <t xml:space="preserve">N</t>
        </is>
      </c>
      <c r="L44" s="2" t="inlineStr">
        <is>
          <t xml:space="preserve">N</t>
        </is>
      </c>
      <c r="M44" s="7">
        <f>E44*(1+G44/Settings!$B$9)</f>
      </c>
      <c r="N44" s="7">
        <f>F44*(1+H44/Settings!$B$10)</f>
      </c>
      <c r="O44" s="7">
        <f>ROUND(SQRT(M44*N44),1)</f>
      </c>
      <c r="P44" s="0">
        <f>1+COUNTIF(Settings!$B$13:$B$19,"&lt;="&amp;O44)</f>
      </c>
      <c r="Q44" s="0">
        <f>IF(AND(L44="Y",Settings!$B$8="Y"),D44,MAX(1,D44-Settings!$B$5))</f>
      </c>
      <c r="R44" s="0">
        <f>MIN(8,D44+Settings!$B$4)</f>
      </c>
      <c r="S44" s="0" t="inlineStr">
        <is>
          <t xml:space="preserve">C3185C</t>
        </is>
      </c>
    </row>
    <row r="45">
      <c r="A45" s="0">
        <v>41</v>
      </c>
      <c r="B45" s="0" t="inlineStr">
        <is>
          <t xml:space="preserve">BLUE MAN</t>
        </is>
      </c>
      <c r="C45" s="0" t="inlineStr">
        <is>
          <t xml:space="preserve">Dindom Dries</t>
        </is>
      </c>
      <c r="D45" s="0">
        <f>IFERROR(INDEX(Areas!$C:$C,MATCH($C45,Areas!$B:$B,0)),"")</f>
      </c>
      <c r="E45" s="0">
        <v>264</v>
      </c>
      <c r="F45" s="0">
        <v>31</v>
      </c>
      <c r="G45" s="0">
        <v>32</v>
      </c>
      <c r="H45" s="0">
        <v>80</v>
      </c>
      <c r="I45" s="0">
        <v>380</v>
      </c>
      <c r="J45" s="0">
        <v>2</v>
      </c>
      <c r="K45" s="0" t="inlineStr">
        <is>
          <t xml:space="preserve">N</t>
        </is>
      </c>
      <c r="L45" s="2" t="inlineStr">
        <is>
          <t xml:space="preserve">N</t>
        </is>
      </c>
      <c r="M45" s="7">
        <f>E45*(1+G45/Settings!$B$9)</f>
      </c>
      <c r="N45" s="7">
        <f>F45*(1+H45/Settings!$B$10)</f>
      </c>
      <c r="O45" s="7">
        <f>ROUND(SQRT(M45*N45),1)</f>
      </c>
      <c r="P45" s="0">
        <f>1+COUNTIF(Settings!$B$13:$B$19,"&lt;="&amp;O45)</f>
      </c>
      <c r="Q45" s="0">
        <f>IF(AND(L45="Y",Settings!$B$8="Y"),D45,MAX(1,D45-Settings!$B$5))</f>
      </c>
      <c r="R45" s="0">
        <f>MIN(8,D45+Settings!$B$4)</f>
      </c>
      <c r="S45" s="0" t="inlineStr">
        <is>
          <t xml:space="preserve">C31894</t>
        </is>
      </c>
    </row>
    <row r="46">
      <c r="A46" s="0">
        <v>42</v>
      </c>
      <c r="B46" s="0" t="inlineStr">
        <is>
          <t xml:space="preserve">WINGED SUNFISH</t>
        </is>
      </c>
      <c r="C46" s="0" t="inlineStr">
        <is>
          <t xml:space="preserve">Baragoon Moor</t>
        </is>
      </c>
      <c r="D46" s="0">
        <f>IFERROR(INDEX(Areas!$C:$C,MATCH($C46,Areas!$B:$B,0)),"")</f>
      </c>
      <c r="E46" s="0">
        <v>320</v>
      </c>
      <c r="F46" s="0">
        <v>34</v>
      </c>
      <c r="G46" s="0">
        <v>70</v>
      </c>
      <c r="H46" s="0">
        <v>95</v>
      </c>
      <c r="I46" s="0">
        <v>420</v>
      </c>
      <c r="J46" s="0">
        <v>3</v>
      </c>
      <c r="K46" s="0" t="inlineStr">
        <is>
          <t xml:space="preserve">N</t>
        </is>
      </c>
      <c r="L46" s="2" t="inlineStr">
        <is>
          <t xml:space="preserve">N</t>
        </is>
      </c>
      <c r="M46" s="7">
        <f>E46*(1+G46/Settings!$B$9)</f>
      </c>
      <c r="N46" s="7">
        <f>F46*(1+H46/Settings!$B$10)</f>
      </c>
      <c r="O46" s="7">
        <f>ROUND(SQRT(M46*N46),1)</f>
      </c>
      <c r="P46" s="0">
        <f>1+COUNTIF(Settings!$B$13:$B$19,"&lt;="&amp;O46)</f>
      </c>
      <c r="Q46" s="0">
        <f>IF(AND(L46="Y",Settings!$B$8="Y"),D46,MAX(1,D46-Settings!$B$5))</f>
      </c>
      <c r="R46" s="0">
        <f>MIN(8,D46+Settings!$B$4)</f>
      </c>
      <c r="S46" s="0" t="inlineStr">
        <is>
          <t xml:space="preserve">C318CC</t>
        </is>
      </c>
    </row>
    <row r="47">
      <c r="A47" s="0">
        <v>43</v>
      </c>
      <c r="B47" s="0" t="inlineStr">
        <is>
          <t xml:space="preserve">GLOOM WING</t>
        </is>
      </c>
      <c r="C47" s="0" t="inlineStr">
        <is>
          <t xml:space="preserve">Baragoon Moor</t>
        </is>
      </c>
      <c r="D47" s="0">
        <f>IFERROR(INDEX(Areas!$C:$C,MATCH($C47,Areas!$B:$B,0)),"")</f>
      </c>
      <c r="E47" s="0">
        <v>320</v>
      </c>
      <c r="F47" s="0">
        <v>34</v>
      </c>
      <c r="G47" s="0">
        <v>68</v>
      </c>
      <c r="H47" s="0">
        <v>100</v>
      </c>
      <c r="I47" s="0">
        <v>440</v>
      </c>
      <c r="J47" s="0">
        <v>0</v>
      </c>
      <c r="K47" s="0" t="inlineStr">
        <is>
          <t xml:space="preserve">N</t>
        </is>
      </c>
      <c r="L47" s="2" t="inlineStr">
        <is>
          <t xml:space="preserve">N</t>
        </is>
      </c>
      <c r="M47" s="7">
        <f>E47*(1+G47/Settings!$B$9)</f>
      </c>
      <c r="N47" s="7">
        <f>F47*(1+H47/Settings!$B$10)</f>
      </c>
      <c r="O47" s="7">
        <f>ROUND(SQRT(M47*N47),1)</f>
      </c>
      <c r="P47" s="0">
        <f>1+COUNTIF(Settings!$B$13:$B$19,"&lt;="&amp;O47)</f>
      </c>
      <c r="Q47" s="0">
        <f>IF(AND(L47="Y",Settings!$B$8="Y"),D47,MAX(1,D47-Settings!$B$5))</f>
      </c>
      <c r="R47" s="0">
        <f>MIN(8,D47+Settings!$B$4)</f>
      </c>
      <c r="S47" s="0" t="inlineStr">
        <is>
          <t xml:space="preserve">C31904</t>
        </is>
      </c>
    </row>
    <row r="48">
      <c r="A48" s="0">
        <v>44</v>
      </c>
      <c r="B48" s="0" t="inlineStr">
        <is>
          <t xml:space="preserve">OGRE</t>
        </is>
      </c>
      <c r="C48" s="0" t="inlineStr">
        <is>
          <t xml:space="preserve">Baragoon Moor</t>
        </is>
      </c>
      <c r="D48" s="0">
        <f>IFERROR(INDEX(Areas!$C:$C,MATCH($C48,Areas!$B:$B,0)),"")</f>
      </c>
      <c r="E48" s="0">
        <v>440</v>
      </c>
      <c r="F48" s="0">
        <v>37</v>
      </c>
      <c r="G48" s="0">
        <v>72</v>
      </c>
      <c r="H48" s="0">
        <v>85</v>
      </c>
      <c r="I48" s="0">
        <v>560</v>
      </c>
      <c r="J48" s="0">
        <v>2</v>
      </c>
      <c r="K48" s="0" t="inlineStr">
        <is>
          <t xml:space="preserve">N</t>
        </is>
      </c>
      <c r="L48" s="2" t="inlineStr">
        <is>
          <t xml:space="preserve">N</t>
        </is>
      </c>
      <c r="M48" s="7">
        <f>E48*(1+G48/Settings!$B$9)</f>
      </c>
      <c r="N48" s="7">
        <f>F48*(1+H48/Settings!$B$10)</f>
      </c>
      <c r="O48" s="7">
        <f>ROUND(SQRT(M48*N48),1)</f>
      </c>
      <c r="P48" s="0">
        <f>1+COUNTIF(Settings!$B$13:$B$19,"&lt;="&amp;O48)</f>
      </c>
      <c r="Q48" s="0">
        <f>IF(AND(L48="Y",Settings!$B$8="Y"),D48,MAX(1,D48-Settings!$B$5))</f>
      </c>
      <c r="R48" s="0">
        <f>MIN(8,D48+Settings!$B$4)</f>
      </c>
      <c r="S48" s="0" t="inlineStr">
        <is>
          <t xml:space="preserve">C3193C</t>
        </is>
      </c>
    </row>
    <row r="49">
      <c r="A49" s="0">
        <v>45</v>
      </c>
      <c r="B49" s="0" t="inlineStr">
        <is>
          <t xml:space="preserve">ROCKY</t>
        </is>
      </c>
      <c r="C49" s="0" t="inlineStr">
        <is>
          <t xml:space="preserve">Boil Hole</t>
        </is>
      </c>
      <c r="D49" s="0">
        <f>IFERROR(INDEX(Areas!$C:$C,MATCH($C49,Areas!$B:$B,0)),"")</f>
      </c>
      <c r="E49" s="0">
        <v>350</v>
      </c>
      <c r="F49" s="0">
        <v>35</v>
      </c>
      <c r="G49" s="0">
        <v>80</v>
      </c>
      <c r="H49" s="0">
        <v>90</v>
      </c>
      <c r="I49" s="0">
        <v>450</v>
      </c>
      <c r="J49" s="0">
        <v>1</v>
      </c>
      <c r="K49" s="0" t="inlineStr">
        <is>
          <t xml:space="preserve">N</t>
        </is>
      </c>
      <c r="L49" s="2" t="inlineStr">
        <is>
          <t xml:space="preserve">N</t>
        </is>
      </c>
      <c r="M49" s="7">
        <f>E49*(1+G49/Settings!$B$9)</f>
      </c>
      <c r="N49" s="7">
        <f>F49*(1+H49/Settings!$B$10)</f>
      </c>
      <c r="O49" s="7">
        <f>ROUND(SQRT(M49*N49),1)</f>
      </c>
      <c r="P49" s="0">
        <f>1+COUNTIF(Settings!$B$13:$B$19,"&lt;="&amp;O49)</f>
      </c>
      <c r="Q49" s="0">
        <f>IF(AND(L49="Y",Settings!$B$8="Y"),D49,MAX(1,D49-Settings!$B$5))</f>
      </c>
      <c r="R49" s="0">
        <f>MIN(8,D49+Settings!$B$4)</f>
      </c>
      <c r="S49" s="0" t="inlineStr">
        <is>
          <t xml:space="preserve">C31974</t>
        </is>
      </c>
    </row>
    <row r="50">
      <c r="A50" s="0">
        <v>46</v>
      </c>
      <c r="B50" s="0" t="inlineStr">
        <is>
          <t xml:space="preserve">RED WYVERN</t>
        </is>
      </c>
      <c r="C50" s="0" t="inlineStr">
        <is>
          <t xml:space="preserve">Boil Hole</t>
        </is>
      </c>
      <c r="D50" s="0">
        <f>IFERROR(INDEX(Areas!$C:$C,MATCH($C50,Areas!$B:$B,0)),"")</f>
      </c>
      <c r="E50" s="0">
        <v>550</v>
      </c>
      <c r="F50" s="0">
        <v>40</v>
      </c>
      <c r="G50" s="0">
        <v>85</v>
      </c>
      <c r="H50" s="0">
        <v>120</v>
      </c>
      <c r="I50" s="0">
        <v>650</v>
      </c>
      <c r="J50" s="0">
        <v>0</v>
      </c>
      <c r="K50" s="0" t="inlineStr">
        <is>
          <t xml:space="preserve">N</t>
        </is>
      </c>
      <c r="L50" s="2" t="inlineStr">
        <is>
          <t xml:space="preserve">N</t>
        </is>
      </c>
      <c r="M50" s="7">
        <f>E50*(1+G50/Settings!$B$9)</f>
      </c>
      <c r="N50" s="7">
        <f>F50*(1+H50/Settings!$B$10)</f>
      </c>
      <c r="O50" s="7">
        <f>ROUND(SQRT(M50*N50),1)</f>
      </c>
      <c r="P50" s="0">
        <f>1+COUNTIF(Settings!$B$13:$B$19,"&lt;="&amp;O50)</f>
      </c>
      <c r="Q50" s="0">
        <f>IF(AND(L50="Y",Settings!$B$8="Y"),D50,MAX(1,D50-Settings!$B$5))</f>
      </c>
      <c r="R50" s="0">
        <f>MIN(8,D50+Settings!$B$4)</f>
      </c>
      <c r="S50" s="0" t="inlineStr">
        <is>
          <t xml:space="preserve">C319AC</t>
        </is>
      </c>
    </row>
    <row r="51">
      <c r="A51" s="0">
        <v>47</v>
      </c>
      <c r="B51" s="0" t="inlineStr">
        <is>
          <t xml:space="preserve">FLAMED MANE</t>
        </is>
      </c>
      <c r="C51" s="0" t="inlineStr">
        <is>
          <t xml:space="preserve">Boil Hole</t>
        </is>
      </c>
      <c r="D51" s="0">
        <f>IFERROR(INDEX(Areas!$C:$C,MATCH($C51,Areas!$B:$B,0)),"")</f>
      </c>
      <c r="E51" s="0">
        <v>360</v>
      </c>
      <c r="F51" s="0">
        <v>36</v>
      </c>
      <c r="G51" s="0">
        <v>60</v>
      </c>
      <c r="H51" s="0">
        <v>80</v>
      </c>
      <c r="I51" s="0">
        <v>450</v>
      </c>
      <c r="J51" s="0">
        <v>0</v>
      </c>
      <c r="K51" s="0" t="inlineStr">
        <is>
          <t xml:space="preserve">N</t>
        </is>
      </c>
      <c r="L51" s="2" t="inlineStr">
        <is>
          <t xml:space="preserve">Y</t>
        </is>
      </c>
      <c r="M51" s="7">
        <f>E51*(1+G51/Settings!$B$9)</f>
      </c>
      <c r="N51" s="7">
        <f>F51*(1+H51/Settings!$B$10)</f>
      </c>
      <c r="O51" s="7">
        <f>ROUND(SQRT(M51*N51),1)</f>
      </c>
      <c r="P51" s="0">
        <f>1+COUNTIF(Settings!$B$13:$B$19,"&lt;="&amp;O51)</f>
      </c>
      <c r="Q51" s="0">
        <f>IF(AND(L51="Y",Settings!$B$8="Y"),D51,MAX(1,D51-Settings!$B$5))</f>
      </c>
      <c r="R51" s="0">
        <f>MIN(8,D51+Settings!$B$4)</f>
      </c>
      <c r="S51" s="0" t="inlineStr">
        <is>
          <t xml:space="preserve">C319E4</t>
        </is>
      </c>
    </row>
    <row r="52">
      <c r="A52" s="0">
        <v>48</v>
      </c>
      <c r="B52" s="0" t="inlineStr">
        <is>
          <t xml:space="preserve">MAGMA FISH</t>
        </is>
      </c>
      <c r="C52" s="0" t="inlineStr">
        <is>
          <t xml:space="preserve">Dindom Dries</t>
        </is>
      </c>
      <c r="D52" s="0">
        <f>IFERROR(INDEX(Areas!$C:$C,MATCH($C52,Areas!$B:$B,0)),"")</f>
      </c>
      <c r="E52" s="0">
        <v>242</v>
      </c>
      <c r="F52" s="0">
        <v>34</v>
      </c>
      <c r="G52" s="0">
        <v>80</v>
      </c>
      <c r="H52" s="0">
        <v>90</v>
      </c>
      <c r="I52" s="0">
        <v>320</v>
      </c>
      <c r="J52" s="0">
        <v>0</v>
      </c>
      <c r="K52" s="0" t="inlineStr">
        <is>
          <t xml:space="preserve">N</t>
        </is>
      </c>
      <c r="L52" s="2" t="inlineStr">
        <is>
          <t xml:space="preserve">N</t>
        </is>
      </c>
      <c r="M52" s="7">
        <f>E52*(1+G52/Settings!$B$9)</f>
      </c>
      <c r="N52" s="7">
        <f>F52*(1+H52/Settings!$B$10)</f>
      </c>
      <c r="O52" s="7">
        <f>ROUND(SQRT(M52*N52),1)</f>
      </c>
      <c r="P52" s="0">
        <f>1+COUNTIF(Settings!$B$13:$B$19,"&lt;="&amp;O52)</f>
      </c>
      <c r="Q52" s="0">
        <f>IF(AND(L52="Y",Settings!$B$8="Y"),D52,MAX(1,D52-Settings!$B$5))</f>
      </c>
      <c r="R52" s="0">
        <f>MIN(8,D52+Settings!$B$4)</f>
      </c>
      <c r="S52" s="0" t="inlineStr">
        <is>
          <t xml:space="preserve">C31A1C</t>
        </is>
      </c>
    </row>
    <row r="53">
      <c r="A53" s="0">
        <v>49</v>
      </c>
      <c r="B53" s="0" t="inlineStr">
        <is>
          <t xml:space="preserve">RED ROSE KNIGHT</t>
        </is>
      </c>
      <c r="C53" s="0" t="inlineStr">
        <is>
          <t xml:space="preserve">Baragoon Moor</t>
        </is>
      </c>
      <c r="D53" s="0">
        <f>IFERROR(INDEX(Areas!$C:$C,MATCH($C53,Areas!$B:$B,0)),"")</f>
      </c>
      <c r="E53" s="0">
        <v>260</v>
      </c>
      <c r="F53" s="0">
        <v>38</v>
      </c>
      <c r="G53" s="0">
        <v>70</v>
      </c>
      <c r="H53" s="0">
        <v>95</v>
      </c>
      <c r="I53" s="0">
        <v>600</v>
      </c>
      <c r="J53" s="0">
        <v>0</v>
      </c>
      <c r="K53" s="0" t="inlineStr">
        <is>
          <t xml:space="preserve">N</t>
        </is>
      </c>
      <c r="L53" s="2" t="inlineStr">
        <is>
          <t xml:space="preserve">N</t>
        </is>
      </c>
      <c r="M53" s="7">
        <f>E53*(1+G53/Settings!$B$9)</f>
      </c>
      <c r="N53" s="7">
        <f>F53*(1+H53/Settings!$B$10)</f>
      </c>
      <c r="O53" s="7">
        <f>ROUND(SQRT(M53*N53),1)</f>
      </c>
      <c r="P53" s="0">
        <f>1+COUNTIF(Settings!$B$13:$B$19,"&lt;="&amp;O53)</f>
      </c>
      <c r="Q53" s="0">
        <f>IF(AND(L53="Y",Settings!$B$8="Y"),D53,MAX(1,D53-Settings!$B$5))</f>
      </c>
      <c r="R53" s="0">
        <f>MIN(8,D53+Settings!$B$4)</f>
      </c>
      <c r="S53" s="0" t="inlineStr">
        <is>
          <t xml:space="preserve">C31A54</t>
        </is>
      </c>
    </row>
    <row r="54">
      <c r="A54" s="0">
        <v>50</v>
      </c>
      <c r="B54" s="0" t="inlineStr">
        <is>
          <t xml:space="preserve">WHITE ROSE KNIGHT</t>
        </is>
      </c>
      <c r="C54" s="0" t="inlineStr">
        <is>
          <t xml:space="preserve">Baragoon Moor</t>
        </is>
      </c>
      <c r="D54" s="0">
        <f>IFERROR(INDEX(Areas!$C:$C,MATCH($C54,Areas!$B:$B,0)),"")</f>
      </c>
      <c r="E54" s="0">
        <v>299</v>
      </c>
      <c r="F54" s="0">
        <v>54</v>
      </c>
      <c r="G54" s="0">
        <v>76</v>
      </c>
      <c r="H54" s="0">
        <v>90</v>
      </c>
      <c r="I54" s="0">
        <v>600</v>
      </c>
      <c r="J54" s="0">
        <v>0</v>
      </c>
      <c r="K54" s="0" t="inlineStr">
        <is>
          <t xml:space="preserve">N</t>
        </is>
      </c>
      <c r="L54" s="2" t="inlineStr">
        <is>
          <t xml:space="preserve">N</t>
        </is>
      </c>
      <c r="M54" s="7">
        <f>E54*(1+G54/Settings!$B$9)</f>
      </c>
      <c r="N54" s="7">
        <f>F54*(1+H54/Settings!$B$10)</f>
      </c>
      <c r="O54" s="7">
        <f>ROUND(SQRT(M54*N54),1)</f>
      </c>
      <c r="P54" s="0">
        <f>1+COUNTIF(Settings!$B$13:$B$19,"&lt;="&amp;O54)</f>
      </c>
      <c r="Q54" s="0">
        <f>IF(AND(L54="Y",Settings!$B$8="Y"),D54,MAX(1,D54-Settings!$B$5))</f>
      </c>
      <c r="R54" s="0">
        <f>MIN(8,D54+Settings!$B$4)</f>
      </c>
      <c r="S54" s="0" t="inlineStr">
        <is>
          <t xml:space="preserve">C31A8C</t>
        </is>
      </c>
    </row>
    <row r="55">
      <c r="A55" s="0">
        <v>51</v>
      </c>
      <c r="B55" s="0" t="inlineStr">
        <is>
          <t xml:space="preserve">ORK</t>
        </is>
      </c>
      <c r="C55" s="0" t="inlineStr">
        <is>
          <t xml:space="preserve">Windward Forest</t>
        </is>
      </c>
      <c r="D55" s="0">
        <f>IFERROR(INDEX(Areas!$C:$C,MATCH($C55,Areas!$B:$B,0)),"")</f>
      </c>
      <c r="E55" s="0">
        <v>198</v>
      </c>
      <c r="F55" s="0">
        <v>25</v>
      </c>
      <c r="G55" s="0">
        <v>14</v>
      </c>
      <c r="H55" s="0">
        <v>33</v>
      </c>
      <c r="I55" s="0">
        <v>65</v>
      </c>
      <c r="J55" s="0">
        <v>1</v>
      </c>
      <c r="K55" s="0" t="inlineStr">
        <is>
          <t xml:space="preserve">N</t>
        </is>
      </c>
      <c r="L55" s="2" t="inlineStr">
        <is>
          <t xml:space="preserve">N</t>
        </is>
      </c>
      <c r="M55" s="7">
        <f>E55*(1+G55/Settings!$B$9)</f>
      </c>
      <c r="N55" s="7">
        <f>F55*(1+H55/Settings!$B$10)</f>
      </c>
      <c r="O55" s="7">
        <f>ROUND(SQRT(M55*N55),1)</f>
      </c>
      <c r="P55" s="0">
        <f>1+COUNTIF(Settings!$B$13:$B$19,"&lt;="&amp;O55)</f>
      </c>
      <c r="Q55" s="0">
        <f>IF(AND(L55="Y",Settings!$B$8="Y"),D55,MAX(1,D55-Settings!$B$5))</f>
      </c>
      <c r="R55" s="0">
        <f>MIN(8,D55+Settings!$B$4)</f>
      </c>
      <c r="S55" s="0" t="inlineStr">
        <is>
          <t xml:space="preserve">C9BE54</t>
        </is>
      </c>
    </row>
    <row r="56">
      <c r="A56" s="0">
        <v>52</v>
      </c>
      <c r="B56" s="0" t="inlineStr">
        <is>
          <t xml:space="preserve">GHOST</t>
        </is>
      </c>
      <c r="C56" s="0" t="inlineStr">
        <is>
          <t xml:space="preserve">Baragoon Tunnel</t>
        </is>
      </c>
      <c r="D56" s="0">
        <f>IFERROR(INDEX(Areas!$C:$C,MATCH($C56,Areas!$B:$B,0)),"")</f>
      </c>
      <c r="E56" s="0">
        <v>260</v>
      </c>
      <c r="F56" s="0">
        <v>37</v>
      </c>
      <c r="G56" s="0">
        <v>42</v>
      </c>
      <c r="H56" s="0">
        <v>84</v>
      </c>
      <c r="I56" s="0">
        <v>250</v>
      </c>
      <c r="J56" s="0">
        <v>0</v>
      </c>
      <c r="K56" s="0" t="inlineStr">
        <is>
          <t xml:space="preserve">N</t>
        </is>
      </c>
      <c r="L56" s="2" t="inlineStr">
        <is>
          <t xml:space="preserve">N</t>
        </is>
      </c>
      <c r="M56" s="7">
        <f>E56*(1+G56/Settings!$B$9)</f>
      </c>
      <c r="N56" s="7">
        <f>F56*(1+H56/Settings!$B$10)</f>
      </c>
      <c r="O56" s="7">
        <f>ROUND(SQRT(M56*N56),1)</f>
      </c>
      <c r="P56" s="0">
        <f>1+COUNTIF(Settings!$B$13:$B$19,"&lt;="&amp;O56)</f>
      </c>
      <c r="Q56" s="0">
        <f>IF(AND(L56="Y",Settings!$B$8="Y"),D56,MAX(1,D56-Settings!$B$5))</f>
      </c>
      <c r="R56" s="0">
        <f>MIN(8,D56+Settings!$B$4)</f>
      </c>
      <c r="S56" s="0" t="inlineStr">
        <is>
          <t xml:space="preserve">C9BE8C</t>
        </is>
      </c>
    </row>
    <row r="57">
      <c r="A57" s="0">
        <v>53</v>
      </c>
      <c r="B57" s="0" t="inlineStr">
        <is>
          <t xml:space="preserve">WILL-O'-WISP</t>
        </is>
      </c>
      <c r="C57" s="0" t="inlineStr">
        <is>
          <t xml:space="preserve">Baragoon Tunnel</t>
        </is>
      </c>
      <c r="D57" s="0">
        <f>IFERROR(INDEX(Areas!$C:$C,MATCH($C57,Areas!$B:$B,0)),"")</f>
      </c>
      <c r="E57" s="0">
        <v>160</v>
      </c>
      <c r="F57" s="0">
        <v>33</v>
      </c>
      <c r="G57" s="0">
        <v>33</v>
      </c>
      <c r="H57" s="0">
        <v>80</v>
      </c>
      <c r="I57" s="0">
        <v>190</v>
      </c>
      <c r="J57" s="0">
        <v>0</v>
      </c>
      <c r="K57" s="0" t="inlineStr">
        <is>
          <t xml:space="preserve">Y</t>
        </is>
      </c>
      <c r="L57" s="2" t="inlineStr">
        <is>
          <t xml:space="preserve">N</t>
        </is>
      </c>
      <c r="M57" s="7">
        <f>E57*(1+G57/Settings!$B$9)</f>
      </c>
      <c r="N57" s="7">
        <f>F57*(1+H57/Settings!$B$10)</f>
      </c>
      <c r="O57" s="7">
        <f>ROUND(SQRT(M57*N57),1)</f>
      </c>
      <c r="P57" s="0">
        <f>1+COUNTIF(Settings!$B$13:$B$19,"&lt;="&amp;O57)</f>
      </c>
      <c r="Q57" s="0">
        <f>IF(AND(L57="Y",Settings!$B$8="Y"),D57,MAX(1,D57-Settings!$B$5))</f>
      </c>
      <c r="R57" s="0">
        <f>MIN(8,D57+Settings!$B$4)</f>
      </c>
      <c r="S57" s="0" t="inlineStr">
        <is>
          <t xml:space="preserve">C9BEC4</t>
        </is>
      </c>
    </row>
    <row r="58">
      <c r="A58" s="0">
        <v>54</v>
      </c>
      <c r="B58" s="0" t="inlineStr">
        <is>
          <t xml:space="preserve">SPRITE</t>
        </is>
      </c>
      <c r="C58" s="0" t="inlineStr">
        <is>
          <t xml:space="preserve">Baragoon Tunnel</t>
        </is>
      </c>
      <c r="D58" s="0">
        <f>IFERROR(INDEX(Areas!$C:$C,MATCH($C58,Areas!$B:$B,0)),"")</f>
      </c>
      <c r="E58" s="0">
        <v>242</v>
      </c>
      <c r="F58" s="0">
        <v>30</v>
      </c>
      <c r="G58" s="0">
        <v>38</v>
      </c>
      <c r="H58" s="0">
        <v>78</v>
      </c>
      <c r="I58" s="0">
        <v>220</v>
      </c>
      <c r="J58" s="0">
        <v>3</v>
      </c>
      <c r="K58" s="0" t="inlineStr">
        <is>
          <t xml:space="preserve">N</t>
        </is>
      </c>
      <c r="L58" s="2" t="inlineStr">
        <is>
          <t xml:space="preserve">N</t>
        </is>
      </c>
      <c r="M58" s="7">
        <f>E58*(1+G58/Settings!$B$9)</f>
      </c>
      <c r="N58" s="7">
        <f>F58*(1+H58/Settings!$B$10)</f>
      </c>
      <c r="O58" s="7">
        <f>ROUND(SQRT(M58*N58),1)</f>
      </c>
      <c r="P58" s="0">
        <f>1+COUNTIF(Settings!$B$13:$B$19,"&lt;="&amp;O58)</f>
      </c>
      <c r="Q58" s="0">
        <f>IF(AND(L58="Y",Settings!$B$8="Y"),D58,MAX(1,D58-Settings!$B$5))</f>
      </c>
      <c r="R58" s="0">
        <f>MIN(8,D58+Settings!$B$4)</f>
      </c>
      <c r="S58" s="0" t="inlineStr">
        <is>
          <t xml:space="preserve">C9BEFC</t>
        </is>
      </c>
    </row>
    <row r="59">
      <c r="A59" s="0">
        <v>55</v>
      </c>
      <c r="B59" s="0" t="inlineStr">
        <is>
          <t xml:space="preserve">JACK-O'-LANTERN</t>
        </is>
      </c>
      <c r="C59" s="0" t="inlineStr">
        <is>
          <t xml:space="preserve">Windward Forest</t>
        </is>
      </c>
      <c r="D59" s="0">
        <f>IFERROR(INDEX(Areas!$C:$C,MATCH($C59,Areas!$B:$B,0)),"")</f>
      </c>
      <c r="E59" s="0">
        <v>160</v>
      </c>
      <c r="F59" s="0">
        <v>24</v>
      </c>
      <c r="G59" s="0">
        <v>30</v>
      </c>
      <c r="H59" s="0">
        <v>30</v>
      </c>
      <c r="I59" s="0">
        <v>60</v>
      </c>
      <c r="J59" s="0">
        <v>1</v>
      </c>
      <c r="K59" s="0" t="inlineStr">
        <is>
          <t xml:space="preserve">N</t>
        </is>
      </c>
      <c r="L59" s="2" t="inlineStr">
        <is>
          <t xml:space="preserve">N</t>
        </is>
      </c>
      <c r="M59" s="7">
        <f>E59*(1+G59/Settings!$B$9)</f>
      </c>
      <c r="N59" s="7">
        <f>F59*(1+H59/Settings!$B$10)</f>
      </c>
      <c r="O59" s="7">
        <f>ROUND(SQRT(M59*N59),1)</f>
      </c>
      <c r="P59" s="0">
        <f>1+COUNTIF(Settings!$B$13:$B$19,"&lt;="&amp;O59)</f>
      </c>
      <c r="Q59" s="0">
        <f>IF(AND(L59="Y",Settings!$B$8="Y"),D59,MAX(1,D59-Settings!$B$5))</f>
      </c>
      <c r="R59" s="0">
        <f>MIN(8,D59+Settings!$B$4)</f>
      </c>
      <c r="S59" s="0" t="inlineStr">
        <is>
          <t xml:space="preserve">C9BF34</t>
        </is>
      </c>
    </row>
    <row r="60">
      <c r="A60" s="0">
        <v>56</v>
      </c>
      <c r="B60" s="0" t="inlineStr">
        <is>
          <t xml:space="preserve">ARACHNOID</t>
        </is>
      </c>
      <c r="C60" s="0" t="inlineStr">
        <is>
          <t xml:space="preserve">Windward Forest</t>
        </is>
      </c>
      <c r="D60" s="0">
        <f>IFERROR(INDEX(Areas!$C:$C,MATCH($C60,Areas!$B:$B,0)),"")</f>
      </c>
      <c r="E60" s="0">
        <v>148</v>
      </c>
      <c r="F60" s="0">
        <v>22</v>
      </c>
      <c r="G60" s="0">
        <v>17</v>
      </c>
      <c r="H60" s="0">
        <v>36</v>
      </c>
      <c r="I60" s="0">
        <v>60</v>
      </c>
      <c r="J60" s="0">
        <v>0</v>
      </c>
      <c r="K60" s="0" t="inlineStr">
        <is>
          <t xml:space="preserve">N</t>
        </is>
      </c>
      <c r="L60" s="2" t="inlineStr">
        <is>
          <t xml:space="preserve">N</t>
        </is>
      </c>
      <c r="M60" s="7">
        <f>E60*(1+G60/Settings!$B$9)</f>
      </c>
      <c r="N60" s="7">
        <f>F60*(1+H60/Settings!$B$10)</f>
      </c>
      <c r="O60" s="7">
        <f>ROUND(SQRT(M60*N60),1)</f>
      </c>
      <c r="P60" s="0">
        <f>1+COUNTIF(Settings!$B$13:$B$19,"&lt;="&amp;O60)</f>
      </c>
      <c r="Q60" s="0">
        <f>IF(AND(L60="Y",Settings!$B$8="Y"),D60,MAX(1,D60-Settings!$B$5))</f>
      </c>
      <c r="R60" s="0">
        <f>MIN(8,D60+Settings!$B$4)</f>
      </c>
      <c r="S60" s="0" t="inlineStr">
        <is>
          <t xml:space="preserve">C9BF6C</t>
        </is>
      </c>
    </row>
    <row r="61">
      <c r="A61" s="0">
        <v>57</v>
      </c>
      <c r="B61" s="0" t="inlineStr">
        <is>
          <t xml:space="preserve">LAMIA</t>
        </is>
      </c>
      <c r="C61" s="0" t="inlineStr">
        <is>
          <t xml:space="preserve">Windward Forest</t>
        </is>
      </c>
      <c r="D61" s="0">
        <f>IFERROR(INDEX(Areas!$C:$C,MATCH($C61,Areas!$B:$B,0)),"")</f>
      </c>
      <c r="E61" s="0">
        <v>220</v>
      </c>
      <c r="F61" s="0">
        <v>24</v>
      </c>
      <c r="G61" s="0">
        <v>17</v>
      </c>
      <c r="H61" s="0">
        <v>34</v>
      </c>
      <c r="I61" s="0">
        <v>80</v>
      </c>
      <c r="J61" s="0">
        <v>3</v>
      </c>
      <c r="K61" s="0" t="inlineStr">
        <is>
          <t xml:space="preserve">N</t>
        </is>
      </c>
      <c r="L61" s="2" t="inlineStr">
        <is>
          <t xml:space="preserve">N</t>
        </is>
      </c>
      <c r="M61" s="7">
        <f>E61*(1+G61/Settings!$B$9)</f>
      </c>
      <c r="N61" s="7">
        <f>F61*(1+H61/Settings!$B$10)</f>
      </c>
      <c r="O61" s="7">
        <f>ROUND(SQRT(M61*N61),1)</f>
      </c>
      <c r="P61" s="0">
        <f>1+COUNTIF(Settings!$B$13:$B$19,"&lt;="&amp;O61)</f>
      </c>
      <c r="Q61" s="0">
        <f>IF(AND(L61="Y",Settings!$B$8="Y"),D61,MAX(1,D61-Settings!$B$5))</f>
      </c>
      <c r="R61" s="0">
        <f>MIN(8,D61+Settings!$B$4)</f>
      </c>
      <c r="S61" s="0" t="inlineStr">
        <is>
          <t xml:space="preserve">C9BFA4</t>
        </is>
      </c>
    </row>
    <row r="62">
      <c r="A62" s="0">
        <v>58</v>
      </c>
      <c r="B62" s="0" t="inlineStr">
        <is>
          <t xml:space="preserve">TEMPTRESS</t>
        </is>
      </c>
      <c r="C62" s="0" t="inlineStr">
        <is>
          <t xml:space="preserve">Windward Forest</t>
        </is>
      </c>
      <c r="D62" s="0">
        <f>IFERROR(INDEX(Areas!$C:$C,MATCH($C62,Areas!$B:$B,0)),"")</f>
      </c>
      <c r="E62" s="0">
        <v>132</v>
      </c>
      <c r="F62" s="0">
        <v>19</v>
      </c>
      <c r="G62" s="0">
        <v>16</v>
      </c>
      <c r="H62" s="0">
        <v>28</v>
      </c>
      <c r="I62" s="0">
        <v>58</v>
      </c>
      <c r="J62" s="0">
        <v>2</v>
      </c>
      <c r="K62" s="0" t="inlineStr">
        <is>
          <t xml:space="preserve">N</t>
        </is>
      </c>
      <c r="L62" s="2" t="inlineStr">
        <is>
          <t xml:space="preserve">N</t>
        </is>
      </c>
      <c r="M62" s="7">
        <f>E62*(1+G62/Settings!$B$9)</f>
      </c>
      <c r="N62" s="7">
        <f>F62*(1+H62/Settings!$B$10)</f>
      </c>
      <c r="O62" s="7">
        <f>ROUND(SQRT(M62*N62),1)</f>
      </c>
      <c r="P62" s="0">
        <f>1+COUNTIF(Settings!$B$13:$B$19,"&lt;="&amp;O62)</f>
      </c>
      <c r="Q62" s="0">
        <f>IF(AND(L62="Y",Settings!$B$8="Y"),D62,MAX(1,D62-Settings!$B$5))</f>
      </c>
      <c r="R62" s="0">
        <f>MIN(8,D62+Settings!$B$4)</f>
      </c>
      <c r="S62" s="0" t="inlineStr">
        <is>
          <t xml:space="preserve">C9BFDC</t>
        </is>
      </c>
    </row>
    <row r="63">
      <c r="A63" s="0">
        <v>59</v>
      </c>
      <c r="B63" s="0" t="inlineStr">
        <is>
          <t xml:space="preserve">PIXIE</t>
        </is>
      </c>
      <c r="C63" s="0" t="inlineStr">
        <is>
          <t xml:space="preserve">Isle of Skye</t>
        </is>
      </c>
      <c r="D63" s="0">
        <f>IFERROR(INDEX(Areas!$C:$C,MATCH($C63,Areas!$B:$B,0)),"")</f>
      </c>
      <c r="E63" s="0">
        <v>231</v>
      </c>
      <c r="F63" s="0">
        <v>28</v>
      </c>
      <c r="G63" s="0">
        <v>26</v>
      </c>
      <c r="H63" s="0">
        <v>70</v>
      </c>
      <c r="I63" s="0">
        <v>90</v>
      </c>
      <c r="J63" s="0">
        <v>3</v>
      </c>
      <c r="K63" s="0" t="inlineStr">
        <is>
          <t xml:space="preserve">Y</t>
        </is>
      </c>
      <c r="L63" s="2" t="inlineStr">
        <is>
          <t xml:space="preserve">N</t>
        </is>
      </c>
      <c r="M63" s="7">
        <f>E63*(1+G63/Settings!$B$9)</f>
      </c>
      <c r="N63" s="7">
        <f>F63*(1+H63/Settings!$B$10)</f>
      </c>
      <c r="O63" s="7">
        <f>ROUND(SQRT(M63*N63),1)</f>
      </c>
      <c r="P63" s="0">
        <f>1+COUNTIF(Settings!$B$13:$B$19,"&lt;="&amp;O63)</f>
      </c>
      <c r="Q63" s="0">
        <f>IF(AND(L63="Y",Settings!$B$8="Y"),D63,MAX(1,D63-Settings!$B$5))</f>
      </c>
      <c r="R63" s="0">
        <f>MIN(8,D63+Settings!$B$4)</f>
      </c>
      <c r="S63" s="0" t="inlineStr">
        <is>
          <t xml:space="preserve">C9C014</t>
        </is>
      </c>
    </row>
    <row r="64">
      <c r="A64" s="0">
        <v>60</v>
      </c>
      <c r="B64" s="0" t="inlineStr">
        <is>
          <t xml:space="preserve">GRANGACH</t>
        </is>
      </c>
      <c r="C64" s="0" t="inlineStr">
        <is>
          <t xml:space="preserve">Isle of Skye</t>
        </is>
      </c>
      <c r="D64" s="0">
        <f>IFERROR(INDEX(Areas!$C:$C,MATCH($C64,Areas!$B:$B,0)),"")</f>
      </c>
      <c r="E64" s="0">
        <v>230</v>
      </c>
      <c r="F64" s="0">
        <v>30</v>
      </c>
      <c r="G64" s="0">
        <v>30</v>
      </c>
      <c r="H64" s="0">
        <v>75</v>
      </c>
      <c r="I64" s="0">
        <v>110</v>
      </c>
      <c r="J64" s="0">
        <v>2</v>
      </c>
      <c r="K64" s="0" t="inlineStr">
        <is>
          <t xml:space="preserve">N</t>
        </is>
      </c>
      <c r="L64" s="2" t="inlineStr">
        <is>
          <t xml:space="preserve">N</t>
        </is>
      </c>
      <c r="M64" s="7">
        <f>E64*(1+G64/Settings!$B$9)</f>
      </c>
      <c r="N64" s="7">
        <f>F64*(1+H64/Settings!$B$10)</f>
      </c>
      <c r="O64" s="7">
        <f>ROUND(SQRT(M64*N64),1)</f>
      </c>
      <c r="P64" s="0">
        <f>1+COUNTIF(Settings!$B$13:$B$19,"&lt;="&amp;O64)</f>
      </c>
      <c r="Q64" s="0">
        <f>IF(AND(L64="Y",Settings!$B$8="Y"),D64,MAX(1,D64-Settings!$B$5))</f>
      </c>
      <c r="R64" s="0">
        <f>MIN(8,D64+Settings!$B$4)</f>
      </c>
      <c r="S64" s="0" t="inlineStr">
        <is>
          <t xml:space="preserve">C9C04C</t>
        </is>
      </c>
    </row>
    <row r="65">
      <c r="A65" s="0">
        <v>61</v>
      </c>
      <c r="B65" s="0" t="inlineStr">
        <is>
          <t xml:space="preserve">THUNDER JELL</t>
        </is>
      </c>
      <c r="C65" s="0" t="inlineStr">
        <is>
          <t xml:space="preserve">Windward Forest</t>
        </is>
      </c>
      <c r="D65" s="0">
        <f>IFERROR(INDEX(Areas!$C:$C,MATCH($C65,Areas!$B:$B,0)),"")</f>
      </c>
      <c r="E65" s="0">
        <v>198</v>
      </c>
      <c r="F65" s="0">
        <v>26</v>
      </c>
      <c r="G65" s="0">
        <v>15</v>
      </c>
      <c r="H65" s="0">
        <v>25</v>
      </c>
      <c r="I65" s="0">
        <v>80</v>
      </c>
      <c r="J65" s="0">
        <v>1</v>
      </c>
      <c r="K65" s="0" t="inlineStr">
        <is>
          <t xml:space="preserve">N</t>
        </is>
      </c>
      <c r="L65" s="2" t="inlineStr">
        <is>
          <t xml:space="preserve">N</t>
        </is>
      </c>
      <c r="M65" s="7">
        <f>E65*(1+G65/Settings!$B$9)</f>
      </c>
      <c r="N65" s="7">
        <f>F65*(1+H65/Settings!$B$10)</f>
      </c>
      <c r="O65" s="7">
        <f>ROUND(SQRT(M65*N65),1)</f>
      </c>
      <c r="P65" s="0">
        <f>1+COUNTIF(Settings!$B$13:$B$19,"&lt;="&amp;O65)</f>
      </c>
      <c r="Q65" s="0">
        <f>IF(AND(L65="Y",Settings!$B$8="Y"),D65,MAX(1,D65-Settings!$B$5))</f>
      </c>
      <c r="R65" s="0">
        <f>MIN(8,D65+Settings!$B$4)</f>
      </c>
      <c r="S65" s="0" t="inlineStr">
        <is>
          <t xml:space="preserve">C9C084</t>
        </is>
      </c>
    </row>
    <row r="66">
      <c r="A66" s="0">
        <v>62</v>
      </c>
      <c r="B66" s="0" t="inlineStr">
        <is>
          <t xml:space="preserve">TERMANT</t>
        </is>
      </c>
      <c r="C66" s="0" t="inlineStr">
        <is>
          <t xml:space="preserve">Windward Forest</t>
        </is>
      </c>
      <c r="D66" s="0">
        <f>IFERROR(INDEX(Areas!$C:$C,MATCH($C66,Areas!$B:$B,0)),"")</f>
      </c>
      <c r="E66" s="0">
        <v>165</v>
      </c>
      <c r="F66" s="0">
        <v>20</v>
      </c>
      <c r="G66" s="0">
        <v>12</v>
      </c>
      <c r="H66" s="0">
        <v>30</v>
      </c>
      <c r="I66" s="0">
        <v>60</v>
      </c>
      <c r="J66" s="0">
        <v>2</v>
      </c>
      <c r="K66" s="0" t="inlineStr">
        <is>
          <t xml:space="preserve">N</t>
        </is>
      </c>
      <c r="L66" s="2" t="inlineStr">
        <is>
          <t xml:space="preserve">N</t>
        </is>
      </c>
      <c r="M66" s="7">
        <f>E66*(1+G66/Settings!$B$9)</f>
      </c>
      <c r="N66" s="7">
        <f>F66*(1+H66/Settings!$B$10)</f>
      </c>
      <c r="O66" s="7">
        <f>ROUND(SQRT(M66*N66),1)</f>
      </c>
      <c r="P66" s="0">
        <f>1+COUNTIF(Settings!$B$13:$B$19,"&lt;="&amp;O66)</f>
      </c>
      <c r="Q66" s="0">
        <f>IF(AND(L66="Y",Settings!$B$8="Y"),D66,MAX(1,D66-Settings!$B$5))</f>
      </c>
      <c r="R66" s="0">
        <f>MIN(8,D66+Settings!$B$4)</f>
      </c>
      <c r="S66" s="0" t="inlineStr">
        <is>
          <t xml:space="preserve">C9C0BC</t>
        </is>
      </c>
    </row>
    <row r="67">
      <c r="A67" s="0">
        <v>63</v>
      </c>
      <c r="B67" s="0" t="inlineStr">
        <is>
          <t xml:space="preserve">JUDGMENT</t>
        </is>
      </c>
      <c r="C67" s="0" t="inlineStr">
        <is>
          <t xml:space="preserve">Mammon's World</t>
        </is>
      </c>
      <c r="D67" s="0">
        <f>IFERROR(INDEX(Areas!$C:$C,MATCH($C67,Areas!$B:$B,0)),"")</f>
      </c>
      <c r="E67" s="0">
        <v>322</v>
      </c>
      <c r="F67" s="0">
        <v>44</v>
      </c>
      <c r="G67" s="0">
        <v>78</v>
      </c>
      <c r="H67" s="0">
        <v>100</v>
      </c>
      <c r="I67" s="0">
        <v>800</v>
      </c>
      <c r="J67" s="0">
        <v>1</v>
      </c>
      <c r="K67" s="0" t="inlineStr">
        <is>
          <t xml:space="preserve">N</t>
        </is>
      </c>
      <c r="L67" s="2" t="inlineStr">
        <is>
          <t xml:space="preserve">N</t>
        </is>
      </c>
      <c r="M67" s="7">
        <f>E67*(1+G67/Settings!$B$9)</f>
      </c>
      <c r="N67" s="7">
        <f>F67*(1+H67/Settings!$B$10)</f>
      </c>
      <c r="O67" s="7">
        <f>ROUND(SQRT(M67*N67),1)</f>
      </c>
      <c r="P67" s="0">
        <f>1+COUNTIF(Settings!$B$13:$B$19,"&lt;="&amp;O67)</f>
      </c>
      <c r="Q67" s="0">
        <f>IF(AND(L67="Y",Settings!$B$8="Y"),D67,MAX(1,D67-Settings!$B$5))</f>
      </c>
      <c r="R67" s="0">
        <f>MIN(8,D67+Settings!$B$4)</f>
      </c>
      <c r="S67" s="0" t="inlineStr">
        <is>
          <t xml:space="preserve">CC443C</t>
        </is>
      </c>
    </row>
    <row r="68">
      <c r="A68" s="0">
        <v>64</v>
      </c>
      <c r="B68" s="0" t="inlineStr">
        <is>
          <t xml:space="preserve">PALE RIDER</t>
        </is>
      </c>
      <c r="C68" s="0" t="inlineStr">
        <is>
          <t xml:space="preserve">Mammon's World</t>
        </is>
      </c>
      <c r="D68" s="0">
        <f>IFERROR(INDEX(Areas!$C:$C,MATCH($C68,Areas!$B:$B,0)),"")</f>
      </c>
      <c r="E68" s="0">
        <v>480</v>
      </c>
      <c r="F68" s="0">
        <v>45</v>
      </c>
      <c r="G68" s="0">
        <v>63</v>
      </c>
      <c r="H68" s="0">
        <v>120</v>
      </c>
      <c r="I68" s="0">
        <v>850</v>
      </c>
      <c r="J68" s="0">
        <v>3</v>
      </c>
      <c r="K68" s="0" t="inlineStr">
        <is>
          <t xml:space="preserve">N</t>
        </is>
      </c>
      <c r="L68" s="2" t="inlineStr">
        <is>
          <t xml:space="preserve">N</t>
        </is>
      </c>
      <c r="M68" s="7">
        <f>E68*(1+G68/Settings!$B$9)</f>
      </c>
      <c r="N68" s="7">
        <f>F68*(1+H68/Settings!$B$10)</f>
      </c>
      <c r="O68" s="7">
        <f>ROUND(SQRT(M68*N68),1)</f>
      </c>
      <c r="P68" s="0">
        <f>1+COUNTIF(Settings!$B$13:$B$19,"&lt;="&amp;O68)</f>
      </c>
      <c r="Q68" s="0">
        <f>IF(AND(L68="Y",Settings!$B$8="Y"),D68,MAX(1,D68-Settings!$B$5))</f>
      </c>
      <c r="R68" s="0">
        <f>MIN(8,D68+Settings!$B$4)</f>
      </c>
      <c r="S68" s="0" t="inlineStr">
        <is>
          <t xml:space="preserve">CC4474</t>
        </is>
      </c>
    </row>
    <row r="69">
      <c r="A69" s="0">
        <v>65</v>
      </c>
      <c r="B69" s="0" t="inlineStr">
        <is>
          <t xml:space="preserve">PIN HEAD</t>
        </is>
      </c>
      <c r="C69" s="0" t="inlineStr">
        <is>
          <t xml:space="preserve">Mammon's World</t>
        </is>
      </c>
      <c r="D69" s="0">
        <f>IFERROR(INDEX(Areas!$C:$C,MATCH($C69,Areas!$B:$B,0)),"")</f>
      </c>
      <c r="E69" s="0">
        <v>580</v>
      </c>
      <c r="F69" s="0">
        <v>46</v>
      </c>
      <c r="G69" s="0">
        <v>70</v>
      </c>
      <c r="H69" s="0">
        <v>130</v>
      </c>
      <c r="I69" s="0">
        <v>900</v>
      </c>
      <c r="J69" s="0">
        <v>0</v>
      </c>
      <c r="K69" s="0" t="inlineStr">
        <is>
          <t xml:space="preserve">N</t>
        </is>
      </c>
      <c r="L69" s="2" t="inlineStr">
        <is>
          <t xml:space="preserve">N</t>
        </is>
      </c>
      <c r="M69" s="7">
        <f>E69*(1+G69/Settings!$B$9)</f>
      </c>
      <c r="N69" s="7">
        <f>F69*(1+H69/Settings!$B$10)</f>
      </c>
      <c r="O69" s="7">
        <f>ROUND(SQRT(M69*N69),1)</f>
      </c>
      <c r="P69" s="0">
        <f>1+COUNTIF(Settings!$B$13:$B$19,"&lt;="&amp;O69)</f>
      </c>
      <c r="Q69" s="0">
        <f>IF(AND(L69="Y",Settings!$B$8="Y"),D69,MAX(1,D69-Settings!$B$5))</f>
      </c>
      <c r="R69" s="0">
        <f>MIN(8,D69+Settings!$B$4)</f>
      </c>
      <c r="S69" s="0" t="inlineStr">
        <is>
          <t xml:space="preserve">CC44AC</t>
        </is>
      </c>
    </row>
    <row r="70">
      <c r="A70" s="0">
        <v>66</v>
      </c>
      <c r="B70" s="0" t="inlineStr">
        <is>
          <t xml:space="preserve">SPRIGGAN</t>
        </is>
      </c>
      <c r="C70" s="0" t="inlineStr">
        <is>
          <t xml:space="preserve">Mammon's World</t>
        </is>
      </c>
      <c r="D70" s="0">
        <f>IFERROR(INDEX(Areas!$C:$C,MATCH($C70,Areas!$B:$B,0)),"")</f>
      </c>
      <c r="E70" s="0">
        <v>462</v>
      </c>
      <c r="F70" s="0">
        <v>46</v>
      </c>
      <c r="G70" s="0">
        <v>62</v>
      </c>
      <c r="H70" s="0">
        <v>110</v>
      </c>
      <c r="I70" s="0">
        <v>820</v>
      </c>
      <c r="J70" s="0">
        <v>2</v>
      </c>
      <c r="K70" s="0" t="inlineStr">
        <is>
          <t xml:space="preserve">N</t>
        </is>
      </c>
      <c r="L70" s="2" t="inlineStr">
        <is>
          <t xml:space="preserve">N</t>
        </is>
      </c>
      <c r="M70" s="7">
        <f>E70*(1+G70/Settings!$B$9)</f>
      </c>
      <c r="N70" s="7">
        <f>F70*(1+H70/Settings!$B$10)</f>
      </c>
      <c r="O70" s="7">
        <f>ROUND(SQRT(M70*N70),1)</f>
      </c>
      <c r="P70" s="0">
        <f>1+COUNTIF(Settings!$B$13:$B$19,"&lt;="&amp;O70)</f>
      </c>
      <c r="Q70" s="0">
        <f>IF(AND(L70="Y",Settings!$B$8="Y"),D70,MAX(1,D70-Settings!$B$5))</f>
      </c>
      <c r="R70" s="0">
        <f>MIN(8,D70+Settings!$B$4)</f>
      </c>
      <c r="S70" s="0" t="inlineStr">
        <is>
          <t xml:space="preserve">CC44E4</t>
        </is>
      </c>
    </row>
  </sheetData>
</worksheet>
</file>

<file path=xl/worksheets/sheet6.xml><?xml version="1.0" encoding="utf-8"?>
<worksheet xmlns="http://schemas.openxmlformats.org/spreadsheetml/2006/main">
  <sheetViews>
    <sheetView workbookViewId="0"/>
  </sheetViews>
  <cols>
    <col min="1" max="1" width="20" customWidth="1"/>
    <col min="2" max="2" width="14" customWidth="1"/>
    <col min="3" max="3" width="16" customWidth="1"/>
    <col min="4" max="4" width="16" customWidth="1"/>
    <col min="5" max="5" width="10" customWidth="1"/>
    <col min="6" max="6" width="8" customWidth="1"/>
    <col min="7" max="7" width="10" customWidth="1"/>
    <col min="8" max="8" width="8" customWidth="1"/>
  </cols>
  <sheetData>
    <row r="1">
      <c r="A1" s="4" t="inlineStr">
        <is>
          <t xml:space="preserve">Scaling example: one monster dropped into one area</t>
        </is>
      </c>
    </row>
    <row r="2">
      <c r="A2" s="3" t="inlineStr">
        <is>
          <t xml:space="preserve">Pick a monster and a destination area (yellow). The table shows its home stats, the two areas' vanilla averages, the factor between them, the destination's progression guard, and the rescaled stats under Settings!B6. The grid below previews the same monster in every area.</t>
        </is>
      </c>
    </row>
    <row r="3">
      <c r="A3" s="0" t="inlineStr">
        <is>
          <t xml:space="preserve">Monster</t>
        </is>
      </c>
      <c r="B3" s="2" t="inlineStr">
        <is>
          <t xml:space="preserve">RED WYVERN</t>
        </is>
      </c>
    </row>
    <row r="4">
      <c r="A4" s="0" t="inlineStr">
        <is>
          <t xml:space="preserve">Destination area</t>
        </is>
      </c>
      <c r="B4" s="2" t="inlineStr">
        <is>
          <t xml:space="preserve">Holy Plains</t>
        </is>
      </c>
    </row>
    <row r="5">
      <c r="A5" s="0" t="inlineStr">
        <is>
          <t xml:space="preserve">Home area</t>
        </is>
      </c>
      <c r="B5" s="0">
        <f>INDEX(Monsters!$C:$C,MATCH($B$3,Monsters!$B:$B,0))</f>
      </c>
    </row>
    <row r="6">
      <c r="A6" s="0" t="inlineStr">
        <is>
          <t xml:space="preserve">Home tier</t>
        </is>
      </c>
      <c r="B6" s="0">
        <f>INDEX(Monsters!$D:$D,MATCH($B$3,Monsters!$B:$B,0))</f>
      </c>
      <c r="C6" s="0" t="inlineStr">
        <is>
          <t xml:space="preserve">Destination tier</t>
        </is>
      </c>
      <c r="D6" s="0">
        <f>INDEX(Areas!$C:$C,MATCH($B$4,Areas!$B:$B,0))</f>
      </c>
    </row>
    <row r="7">
      <c r="A7" s="0" t="inlineStr">
        <is>
          <t xml:space="preserve">Within allowed spread?</t>
        </is>
      </c>
      <c r="B7" s="0">
        <f>IF(AND(D6&gt;=INDEX(Monsters!$Q:$Q,MATCH($B$3,Monsters!$B:$B,0)),D6&lt;=INDEX(Monsters!$R:$R,MATCH($B$3,Monsters!$B:$B,0))),"yes","no (outside spread)")</f>
      </c>
    </row>
    <row r="8">
      <c r="A8" s="0" t="inlineStr">
        <is>
          <t xml:space="preserve">Destination guard x</t>
        </is>
      </c>
      <c r="B8" s="7">
        <f>INDEX(Areas!$N:$N,MATCH($B$4,Areas!$B:$B,0))</f>
      </c>
    </row>
    <row r="9">
      <c r="A9" s="1" t="inlineStr">
        <is>
          <t xml:space="preserve">Stat</t>
        </is>
      </c>
      <c r="B9" s="1" t="inlineStr">
        <is>
          <t xml:space="preserve">Own (home)</t>
        </is>
      </c>
      <c r="C9" s="1" t="inlineStr">
        <is>
          <t xml:space="preserve">Home area avg</t>
        </is>
      </c>
      <c r="D9" s="1" t="inlineStr">
        <is>
          <t xml:space="preserve">Destination avg</t>
        </is>
      </c>
      <c r="E9" s="1" t="inlineStr">
        <is>
          <t xml:space="preserve">Factor</t>
        </is>
      </c>
      <c r="F9" s="1" t="inlineStr">
        <is>
          <t xml:space="preserve">k used</t>
        </is>
      </c>
      <c r="G9" s="1" t="inlineStr">
        <is>
          <t xml:space="preserve">Scaled (with guard)</t>
        </is>
      </c>
      <c r="H9" s="1" t="inlineStr">
        <is>
          <t xml:space="preserve">Cap</t>
        </is>
      </c>
    </row>
    <row r="10">
      <c r="A10" s="0" t="inlineStr">
        <is>
          <t xml:space="preserve">HP</t>
        </is>
      </c>
      <c r="B10" s="0">
        <f>INDEX(Monsters!$E:$E,MATCH($B$3,Monsters!$B:$B,0))</f>
      </c>
      <c r="C10" s="7">
        <f>INDEX(Areas!$G:$G,MATCH($B$5,Areas!$B:$B,0))</f>
      </c>
      <c r="D10" s="7">
        <f>INDEX(Areas!$G:$G,MATCH($B$4,Areas!$B:$B,0))</f>
      </c>
      <c r="E10" s="7">
        <f>D10/C10</f>
      </c>
      <c r="F10" s="7">
        <f>Settings!$B$6</f>
      </c>
      <c r="G10" s="0">
        <f>MIN(H10,ROUND(B10*E10^F10*$B$8,0))</f>
      </c>
      <c r="H10" s="0">
        <f>Settings!$B$23</f>
      </c>
    </row>
    <row r="11">
      <c r="A11" s="0" t="inlineStr">
        <is>
          <t xml:space="preserve">ATK</t>
        </is>
      </c>
      <c r="B11" s="0">
        <f>INDEX(Monsters!$F:$F,MATCH($B$3,Monsters!$B:$B,0))</f>
      </c>
      <c r="C11" s="7">
        <f>INDEX(Areas!$H:$H,MATCH($B$5,Areas!$B:$B,0))</f>
      </c>
      <c r="D11" s="7">
        <f>INDEX(Areas!$H:$H,MATCH($B$4,Areas!$B:$B,0))</f>
      </c>
      <c r="E11" s="7">
        <f>D11/C11</f>
      </c>
      <c r="F11" s="7">
        <f>Settings!$B$6</f>
      </c>
      <c r="G11" s="0">
        <f>MIN(H11,ROUND(B11*E11^F11*$B$8,0))</f>
      </c>
      <c r="H11" s="0">
        <f>Settings!$B$24</f>
      </c>
    </row>
    <row r="12">
      <c r="A12" s="0" t="inlineStr">
        <is>
          <t xml:space="preserve">DEF</t>
        </is>
      </c>
      <c r="B12" s="0">
        <f>INDEX(Monsters!$G:$G,MATCH($B$3,Monsters!$B:$B,0))</f>
      </c>
      <c r="C12" s="7">
        <f>INDEX(Areas!$I:$I,MATCH($B$5,Areas!$B:$B,0))</f>
      </c>
      <c r="D12" s="7">
        <f>INDEX(Areas!$I:$I,MATCH($B$4,Areas!$B:$B,0))</f>
      </c>
      <c r="E12" s="7">
        <f>D12/C12</f>
      </c>
      <c r="F12" s="7">
        <f>Settings!$B$6</f>
      </c>
      <c r="G12" s="0">
        <f>MIN(H12,ROUND(B12*E12^F12*$B$8,0))</f>
      </c>
      <c r="H12" s="0">
        <f>Settings!$B$24</f>
      </c>
    </row>
    <row r="13">
      <c r="A13" s="0" t="inlineStr">
        <is>
          <t xml:space="preserve">AGI</t>
        </is>
      </c>
      <c r="B13" s="0">
        <f>INDEX(Monsters!$H:$H,MATCH($B$3,Monsters!$B:$B,0))</f>
      </c>
      <c r="C13" s="7">
        <f>INDEX(Areas!$J:$J,MATCH($B$5,Areas!$B:$B,0))</f>
      </c>
      <c r="D13" s="7">
        <f>INDEX(Areas!$J:$J,MATCH($B$4,Areas!$B:$B,0))</f>
      </c>
      <c r="E13" s="7">
        <f>D13/C13</f>
      </c>
      <c r="F13" s="7">
        <f>Settings!$B$6</f>
      </c>
      <c r="G13" s="0">
        <f>MIN(H13,ROUND(B13*E13^F13*$B$8,0))</f>
      </c>
      <c r="H13" s="0">
        <f>Settings!$B$24</f>
      </c>
    </row>
    <row r="14">
      <c r="A14" s="0" t="inlineStr">
        <is>
          <t xml:space="preserve">EXP</t>
        </is>
      </c>
      <c r="B14" s="0">
        <f>INDEX(Monsters!$I:$I,MATCH($B$3,Monsters!$B:$B,0))</f>
      </c>
      <c r="C14" s="7">
        <f>INDEX(Areas!$K:$K,MATCH($B$5,Areas!$B:$B,0))</f>
      </c>
      <c r="D14" s="7">
        <f>INDEX(Areas!$K:$K,MATCH($B$4,Areas!$B:$B,0))</f>
      </c>
      <c r="E14" s="7">
        <f>D14/C14</f>
      </c>
      <c r="F14" s="7">
        <f>1</f>
      </c>
      <c r="G14" s="0">
        <f>MIN(H14,ROUND(B14*E14^F14*$B$8,0))</f>
      </c>
      <c r="H14" s="0">
        <f>99999</f>
      </c>
    </row>
    <row r="15"/>
    <row r="16">
      <c r="A16" s="6" t="inlineStr">
        <is>
          <t xml:space="preserve">Preview: the chosen monster in every area (guard included)</t>
        </is>
      </c>
    </row>
    <row r="17">
      <c r="A17" s="1" t="inlineStr">
        <is>
          <t xml:space="preserve">Area</t>
        </is>
      </c>
      <c r="B17" s="1" t="inlineStr">
        <is>
          <t xml:space="preserve">Tier</t>
        </is>
      </c>
      <c r="C17" s="1" t="inlineStr">
        <is>
          <t xml:space="preserve">HP</t>
        </is>
      </c>
      <c r="D17" s="1" t="inlineStr">
        <is>
          <t xml:space="preserve">ATK</t>
        </is>
      </c>
      <c r="E17" s="1" t="inlineStr">
        <is>
          <t xml:space="preserve">DEF</t>
        </is>
      </c>
      <c r="F17" s="1" t="inlineStr">
        <is>
          <t xml:space="preserve">AGI</t>
        </is>
      </c>
      <c r="G17" s="1" t="inlineStr">
        <is>
          <t xml:space="preserve">EXP</t>
        </is>
      </c>
      <c r="H17" s="1" t="inlineStr">
        <is>
          <t xml:space="preserve">Allowed?</t>
        </is>
      </c>
    </row>
    <row r="18">
      <c r="A18" s="0" t="inlineStr">
        <is>
          <t xml:space="preserve">Holy Plains</t>
        </is>
      </c>
      <c r="B18" s="0">
        <f>INDEX(Areas!$C:$C,MATCH($A18,Areas!$B:$B,0))</f>
      </c>
      <c r="C18" s="0">
        <f>MIN(Settings!$B$23,ROUND(INDEX(Monsters!$E:$E,MATCH($B$3,Monsters!$B:$B,0))*(INDEX(Areas!$G:$G,MATCH($A18,Areas!$B:$B,0))/INDEX(Areas!$G:$G,MATCH($B$5,Areas!$B:$B,0)))^Settings!$B$6*INDEX(Areas!$N:$N,MATCH($A18,Areas!$B:$B,0)),0))</f>
      </c>
      <c r="D18" s="0">
        <f>MIN(Settings!$B$24,ROUND(INDEX(Monsters!$F:$F,MATCH($B$3,Monsters!$B:$B,0))*(INDEX(Areas!$H:$H,MATCH($A18,Areas!$B:$B,0))/INDEX(Areas!$H:$H,MATCH($B$5,Areas!$B:$B,0)))^Settings!$B$6*INDEX(Areas!$N:$N,MATCH($A18,Areas!$B:$B,0)),0))</f>
      </c>
      <c r="E18" s="0">
        <f>MIN(Settings!$B$24,ROUND(INDEX(Monsters!$G:$G,MATCH($B$3,Monsters!$B:$B,0))*(INDEX(Areas!$I:$I,MATCH($A18,Areas!$B:$B,0))/INDEX(Areas!$I:$I,MATCH($B$5,Areas!$B:$B,0)))^Settings!$B$6*INDEX(Areas!$N:$N,MATCH($A18,Areas!$B:$B,0)),0))</f>
      </c>
      <c r="F18" s="0">
        <f>MIN(Settings!$B$24,ROUND(INDEX(Monsters!$H:$H,MATCH($B$3,Monsters!$B:$B,0))*(INDEX(Areas!$J:$J,MATCH($A18,Areas!$B:$B,0))/INDEX(Areas!$J:$J,MATCH($B$5,Areas!$B:$B,0)))^Settings!$B$6*INDEX(Areas!$N:$N,MATCH($A18,Areas!$B:$B,0)),0))</f>
      </c>
      <c r="G18" s="0">
        <f>MIN(99999,ROUND(INDEX(Monsters!$I:$I,MATCH($B$3,Monsters!$B:$B,0))*(INDEX(Areas!$K:$K,MATCH($A18,Areas!$B:$B,0))/INDEX(Areas!$K:$K,MATCH($B$5,Areas!$B:$B,0)))^1*INDEX(Areas!$N:$N,MATCH($A18,Areas!$B:$B,0)),0))</f>
      </c>
      <c r="H18" s="0">
        <f>IF(AND(B18&gt;=INDEX(Monsters!$Q:$Q,MATCH($B$3,Monsters!$B:$B,0)),B18&lt;=INDEX(Monsters!$R:$R,MATCH($B$3,Monsters!$B:$B,0))),"yes","no")</f>
      </c>
    </row>
    <row r="19">
      <c r="A19" s="0" t="inlineStr">
        <is>
          <t xml:space="preserve">Connor Forest</t>
        </is>
      </c>
      <c r="B19" s="0">
        <f>INDEX(Areas!$C:$C,MATCH($A19,Areas!$B:$B,0))</f>
      </c>
      <c r="C19" s="0">
        <f>MIN(Settings!$B$23,ROUND(INDEX(Monsters!$E:$E,MATCH($B$3,Monsters!$B:$B,0))*(INDEX(Areas!$G:$G,MATCH($A19,Areas!$B:$B,0))/INDEX(Areas!$G:$G,MATCH($B$5,Areas!$B:$B,0)))^Settings!$B$6*INDEX(Areas!$N:$N,MATCH($A19,Areas!$B:$B,0)),0))</f>
      </c>
      <c r="D19" s="0">
        <f>MIN(Settings!$B$24,ROUND(INDEX(Monsters!$F:$F,MATCH($B$3,Monsters!$B:$B,0))*(INDEX(Areas!$H:$H,MATCH($A19,Areas!$B:$B,0))/INDEX(Areas!$H:$H,MATCH($B$5,Areas!$B:$B,0)))^Settings!$B$6*INDEX(Areas!$N:$N,MATCH($A19,Areas!$B:$B,0)),0))</f>
      </c>
      <c r="E19" s="0">
        <f>MIN(Settings!$B$24,ROUND(INDEX(Monsters!$G:$G,MATCH($B$3,Monsters!$B:$B,0))*(INDEX(Areas!$I:$I,MATCH($A19,Areas!$B:$B,0))/INDEX(Areas!$I:$I,MATCH($B$5,Areas!$B:$B,0)))^Settings!$B$6*INDEX(Areas!$N:$N,MATCH($A19,Areas!$B:$B,0)),0))</f>
      </c>
      <c r="F19" s="0">
        <f>MIN(Settings!$B$24,ROUND(INDEX(Monsters!$H:$H,MATCH($B$3,Monsters!$B:$B,0))*(INDEX(Areas!$J:$J,MATCH($A19,Areas!$B:$B,0))/INDEX(Areas!$J:$J,MATCH($B$5,Areas!$B:$B,0)))^Settings!$B$6*INDEX(Areas!$N:$N,MATCH($A19,Areas!$B:$B,0)),0))</f>
      </c>
      <c r="G19" s="0">
        <f>MIN(99999,ROUND(INDEX(Monsters!$I:$I,MATCH($B$3,Monsters!$B:$B,0))*(INDEX(Areas!$K:$K,MATCH($A19,Areas!$B:$B,0))/INDEX(Areas!$K:$K,MATCH($B$5,Areas!$B:$B,0)))^1*INDEX(Areas!$N:$N,MATCH($A19,Areas!$B:$B,0)),0))</f>
      </c>
      <c r="H19" s="0">
        <f>IF(AND(B19&gt;=INDEX(Monsters!$Q:$Q,MATCH($B$3,Monsters!$B:$B,0)),B19&lt;=INDEX(Monsters!$R:$R,MATCH($B$3,Monsters!$B:$B,0))),"yes","no")</f>
      </c>
    </row>
    <row r="20">
      <c r="A20" s="0" t="inlineStr">
        <is>
          <t xml:space="preserve">Dondoran Flats</t>
        </is>
      </c>
      <c r="B20" s="0">
        <f>INDEX(Areas!$C:$C,MATCH($A20,Areas!$B:$B,0))</f>
      </c>
      <c r="C20" s="0">
        <f>MIN(Settings!$B$23,ROUND(INDEX(Monsters!$E:$E,MATCH($B$3,Monsters!$B:$B,0))*(INDEX(Areas!$G:$G,MATCH($A20,Areas!$B:$B,0))/INDEX(Areas!$G:$G,MATCH($B$5,Areas!$B:$B,0)))^Settings!$B$6*INDEX(Areas!$N:$N,MATCH($A20,Areas!$B:$B,0)),0))</f>
      </c>
      <c r="D20" s="0">
        <f>MIN(Settings!$B$24,ROUND(INDEX(Monsters!$F:$F,MATCH($B$3,Monsters!$B:$B,0))*(INDEX(Areas!$H:$H,MATCH($A20,Areas!$B:$B,0))/INDEX(Areas!$H:$H,MATCH($B$5,Areas!$B:$B,0)))^Settings!$B$6*INDEX(Areas!$N:$N,MATCH($A20,Areas!$B:$B,0)),0))</f>
      </c>
      <c r="E20" s="0">
        <f>MIN(Settings!$B$24,ROUND(INDEX(Monsters!$G:$G,MATCH($B$3,Monsters!$B:$B,0))*(INDEX(Areas!$I:$I,MATCH($A20,Areas!$B:$B,0))/INDEX(Areas!$I:$I,MATCH($B$5,Areas!$B:$B,0)))^Settings!$B$6*INDEX(Areas!$N:$N,MATCH($A20,Areas!$B:$B,0)),0))</f>
      </c>
      <c r="F20" s="0">
        <f>MIN(Settings!$B$24,ROUND(INDEX(Monsters!$H:$H,MATCH($B$3,Monsters!$B:$B,0))*(INDEX(Areas!$J:$J,MATCH($A20,Areas!$B:$B,0))/INDEX(Areas!$J:$J,MATCH($B$5,Areas!$B:$B,0)))^Settings!$B$6*INDEX(Areas!$N:$N,MATCH($A20,Areas!$B:$B,0)),0))</f>
      </c>
      <c r="G20" s="0">
        <f>MIN(99999,ROUND(INDEX(Monsters!$I:$I,MATCH($B$3,Monsters!$B:$B,0))*(INDEX(Areas!$K:$K,MATCH($A20,Areas!$B:$B,0))/INDEX(Areas!$K:$K,MATCH($B$5,Areas!$B:$B,0)))^1*INDEX(Areas!$N:$N,MATCH($A20,Areas!$B:$B,0)),0))</f>
      </c>
      <c r="H20" s="0">
        <f>IF(AND(B20&gt;=INDEX(Monsters!$Q:$Q,MATCH($B$3,Monsters!$B:$B,0)),B20&lt;=INDEX(Monsters!$R:$R,MATCH($B$3,Monsters!$B:$B,0))),"yes","no")</f>
      </c>
    </row>
    <row r="21">
      <c r="A21" s="0" t="inlineStr">
        <is>
          <t xml:space="preserve">Glencoe Forest</t>
        </is>
      </c>
      <c r="B21" s="0">
        <f>INDEX(Areas!$C:$C,MATCH($A21,Areas!$B:$B,0))</f>
      </c>
      <c r="C21" s="0">
        <f>MIN(Settings!$B$23,ROUND(INDEX(Monsters!$E:$E,MATCH($B$3,Monsters!$B:$B,0))*(INDEX(Areas!$G:$G,MATCH($A21,Areas!$B:$B,0))/INDEX(Areas!$G:$G,MATCH($B$5,Areas!$B:$B,0)))^Settings!$B$6*INDEX(Areas!$N:$N,MATCH($A21,Areas!$B:$B,0)),0))</f>
      </c>
      <c r="D21" s="0">
        <f>MIN(Settings!$B$24,ROUND(INDEX(Monsters!$F:$F,MATCH($B$3,Monsters!$B:$B,0))*(INDEX(Areas!$H:$H,MATCH($A21,Areas!$B:$B,0))/INDEX(Areas!$H:$H,MATCH($B$5,Areas!$B:$B,0)))^Settings!$B$6*INDEX(Areas!$N:$N,MATCH($A21,Areas!$B:$B,0)),0))</f>
      </c>
      <c r="E21" s="0">
        <f>MIN(Settings!$B$24,ROUND(INDEX(Monsters!$G:$G,MATCH($B$3,Monsters!$B:$B,0))*(INDEX(Areas!$I:$I,MATCH($A21,Areas!$B:$B,0))/INDEX(Areas!$I:$I,MATCH($B$5,Areas!$B:$B,0)))^Settings!$B$6*INDEX(Areas!$N:$N,MATCH($A21,Areas!$B:$B,0)),0))</f>
      </c>
      <c r="F21" s="0">
        <f>MIN(Settings!$B$24,ROUND(INDEX(Monsters!$H:$H,MATCH($B$3,Monsters!$B:$B,0))*(INDEX(Areas!$J:$J,MATCH($A21,Areas!$B:$B,0))/INDEX(Areas!$J:$J,MATCH($B$5,Areas!$B:$B,0)))^Settings!$B$6*INDEX(Areas!$N:$N,MATCH($A21,Areas!$B:$B,0)),0))</f>
      </c>
      <c r="G21" s="0">
        <f>MIN(99999,ROUND(INDEX(Monsters!$I:$I,MATCH($B$3,Monsters!$B:$B,0))*(INDEX(Areas!$K:$K,MATCH($A21,Areas!$B:$B,0))/INDEX(Areas!$K:$K,MATCH($B$5,Areas!$B:$B,0)))^1*INDEX(Areas!$N:$N,MATCH($A21,Areas!$B:$B,0)),0))</f>
      </c>
      <c r="H21" s="0">
        <f>IF(AND(B21&gt;=INDEX(Monsters!$Q:$Q,MATCH($B$3,Monsters!$B:$B,0)),B21&lt;=INDEX(Monsters!$R:$R,MATCH($B$3,Monsters!$B:$B,0))),"yes","no")</f>
      </c>
    </row>
    <row r="22">
      <c r="A22" s="0" t="inlineStr">
        <is>
          <t xml:space="preserve">West Carmaugh</t>
        </is>
      </c>
      <c r="B22" s="0">
        <f>INDEX(Areas!$C:$C,MATCH($A22,Areas!$B:$B,0))</f>
      </c>
      <c r="C22" s="0">
        <f>MIN(Settings!$B$23,ROUND(INDEX(Monsters!$E:$E,MATCH($B$3,Monsters!$B:$B,0))*(INDEX(Areas!$G:$G,MATCH($A22,Areas!$B:$B,0))/INDEX(Areas!$G:$G,MATCH($B$5,Areas!$B:$B,0)))^Settings!$B$6*INDEX(Areas!$N:$N,MATCH($A22,Areas!$B:$B,0)),0))</f>
      </c>
      <c r="D22" s="0">
        <f>MIN(Settings!$B$24,ROUND(INDEX(Monsters!$F:$F,MATCH($B$3,Monsters!$B:$B,0))*(INDEX(Areas!$H:$H,MATCH($A22,Areas!$B:$B,0))/INDEX(Areas!$H:$H,MATCH($B$5,Areas!$B:$B,0)))^Settings!$B$6*INDEX(Areas!$N:$N,MATCH($A22,Areas!$B:$B,0)),0))</f>
      </c>
      <c r="E22" s="0">
        <f>MIN(Settings!$B$24,ROUND(INDEX(Monsters!$G:$G,MATCH($B$3,Monsters!$B:$B,0))*(INDEX(Areas!$I:$I,MATCH($A22,Areas!$B:$B,0))/INDEX(Areas!$I:$I,MATCH($B$5,Areas!$B:$B,0)))^Settings!$B$6*INDEX(Areas!$N:$N,MATCH($A22,Areas!$B:$B,0)),0))</f>
      </c>
      <c r="F22" s="0">
        <f>MIN(Settings!$B$24,ROUND(INDEX(Monsters!$H:$H,MATCH($B$3,Monsters!$B:$B,0))*(INDEX(Areas!$J:$J,MATCH($A22,Areas!$B:$B,0))/INDEX(Areas!$J:$J,MATCH($B$5,Areas!$B:$B,0)))^Settings!$B$6*INDEX(Areas!$N:$N,MATCH($A22,Areas!$B:$B,0)),0))</f>
      </c>
      <c r="G22" s="0">
        <f>MIN(99999,ROUND(INDEX(Monsters!$I:$I,MATCH($B$3,Monsters!$B:$B,0))*(INDEX(Areas!$K:$K,MATCH($A22,Areas!$B:$B,0))/INDEX(Areas!$K:$K,MATCH($B$5,Areas!$B:$B,0)))^1*INDEX(Areas!$N:$N,MATCH($A22,Areas!$B:$B,0)),0))</f>
      </c>
      <c r="H22" s="0">
        <f>IF(AND(B22&gt;=INDEX(Monsters!$Q:$Q,MATCH($B$3,Monsters!$B:$B,0)),B22&lt;=INDEX(Monsters!$R:$R,MATCH($B$3,Monsters!$B:$B,0))),"yes","no")</f>
      </c>
    </row>
    <row r="23">
      <c r="A23" s="0" t="inlineStr">
        <is>
          <t xml:space="preserve">Cull Hazard</t>
        </is>
      </c>
      <c r="B23" s="0">
        <f>INDEX(Areas!$C:$C,MATCH($A23,Areas!$B:$B,0))</f>
      </c>
      <c r="C23" s="0">
        <f>MIN(Settings!$B$23,ROUND(INDEX(Monsters!$E:$E,MATCH($B$3,Monsters!$B:$B,0))*(INDEX(Areas!$G:$G,MATCH($A23,Areas!$B:$B,0))/INDEX(Areas!$G:$G,MATCH($B$5,Areas!$B:$B,0)))^Settings!$B$6*INDEX(Areas!$N:$N,MATCH($A23,Areas!$B:$B,0)),0))</f>
      </c>
      <c r="D23" s="0">
        <f>MIN(Settings!$B$24,ROUND(INDEX(Monsters!$F:$F,MATCH($B$3,Monsters!$B:$B,0))*(INDEX(Areas!$H:$H,MATCH($A23,Areas!$B:$B,0))/INDEX(Areas!$H:$H,MATCH($B$5,Areas!$B:$B,0)))^Settings!$B$6*INDEX(Areas!$N:$N,MATCH($A23,Areas!$B:$B,0)),0))</f>
      </c>
      <c r="E23" s="0">
        <f>MIN(Settings!$B$24,ROUND(INDEX(Monsters!$G:$G,MATCH($B$3,Monsters!$B:$B,0))*(INDEX(Areas!$I:$I,MATCH($A23,Areas!$B:$B,0))/INDEX(Areas!$I:$I,MATCH($B$5,Areas!$B:$B,0)))^Settings!$B$6*INDEX(Areas!$N:$N,MATCH($A23,Areas!$B:$B,0)),0))</f>
      </c>
      <c r="F23" s="0">
        <f>MIN(Settings!$B$24,ROUND(INDEX(Monsters!$H:$H,MATCH($B$3,Monsters!$B:$B,0))*(INDEX(Areas!$J:$J,MATCH($A23,Areas!$B:$B,0))/INDEX(Areas!$J:$J,MATCH($B$5,Areas!$B:$B,0)))^Settings!$B$6*INDEX(Areas!$N:$N,MATCH($A23,Areas!$B:$B,0)),0))</f>
      </c>
      <c r="G23" s="0">
        <f>MIN(99999,ROUND(INDEX(Monsters!$I:$I,MATCH($B$3,Monsters!$B:$B,0))*(INDEX(Areas!$K:$K,MATCH($A23,Areas!$B:$B,0))/INDEX(Areas!$K:$K,MATCH($B$5,Areas!$B:$B,0)))^1*INDEX(Areas!$N:$N,MATCH($A23,Areas!$B:$B,0)),0))</f>
      </c>
      <c r="H23" s="0">
        <f>IF(AND(B23&gt;=INDEX(Monsters!$Q:$Q,MATCH($B$3,Monsters!$B:$B,0)),B23&lt;=INDEX(Monsters!$R:$R,MATCH($B$3,Monsters!$B:$B,0))),"yes","no")</f>
      </c>
    </row>
    <row r="24">
      <c r="A24" s="0" t="inlineStr">
        <is>
          <t xml:space="preserve">East Limelin</t>
        </is>
      </c>
      <c r="B24" s="0">
        <f>INDEX(Areas!$C:$C,MATCH($A24,Areas!$B:$B,0))</f>
      </c>
      <c r="C24" s="0">
        <f>MIN(Settings!$B$23,ROUND(INDEX(Monsters!$E:$E,MATCH($B$3,Monsters!$B:$B,0))*(INDEX(Areas!$G:$G,MATCH($A24,Areas!$B:$B,0))/INDEX(Areas!$G:$G,MATCH($B$5,Areas!$B:$B,0)))^Settings!$B$6*INDEX(Areas!$N:$N,MATCH($A24,Areas!$B:$B,0)),0))</f>
      </c>
      <c r="D24" s="0">
        <f>MIN(Settings!$B$24,ROUND(INDEX(Monsters!$F:$F,MATCH($B$3,Monsters!$B:$B,0))*(INDEX(Areas!$H:$H,MATCH($A24,Areas!$B:$B,0))/INDEX(Areas!$H:$H,MATCH($B$5,Areas!$B:$B,0)))^Settings!$B$6*INDEX(Areas!$N:$N,MATCH($A24,Areas!$B:$B,0)),0))</f>
      </c>
      <c r="E24" s="0">
        <f>MIN(Settings!$B$24,ROUND(INDEX(Monsters!$G:$G,MATCH($B$3,Monsters!$B:$B,0))*(INDEX(Areas!$I:$I,MATCH($A24,Areas!$B:$B,0))/INDEX(Areas!$I:$I,MATCH($B$5,Areas!$B:$B,0)))^Settings!$B$6*INDEX(Areas!$N:$N,MATCH($A24,Areas!$B:$B,0)),0))</f>
      </c>
      <c r="F24" s="0">
        <f>MIN(Settings!$B$24,ROUND(INDEX(Monsters!$H:$H,MATCH($B$3,Monsters!$B:$B,0))*(INDEX(Areas!$J:$J,MATCH($A24,Areas!$B:$B,0))/INDEX(Areas!$J:$J,MATCH($B$5,Areas!$B:$B,0)))^Settings!$B$6*INDEX(Areas!$N:$N,MATCH($A24,Areas!$B:$B,0)),0))</f>
      </c>
      <c r="G24" s="0">
        <f>MIN(99999,ROUND(INDEX(Monsters!$I:$I,MATCH($B$3,Monsters!$B:$B,0))*(INDEX(Areas!$K:$K,MATCH($A24,Areas!$B:$B,0))/INDEX(Areas!$K:$K,MATCH($B$5,Areas!$B:$B,0)))^1*INDEX(Areas!$N:$N,MATCH($A24,Areas!$B:$B,0)),0))</f>
      </c>
      <c r="H24" s="0">
        <f>IF(AND(B24&gt;=INDEX(Monsters!$Q:$Q,MATCH($B$3,Monsters!$B:$B,0)),B24&lt;=INDEX(Monsters!$R:$R,MATCH($B$3,Monsters!$B:$B,0))),"yes","no")</f>
      </c>
    </row>
    <row r="25">
      <c r="A25" s="0" t="inlineStr">
        <is>
          <t xml:space="preserve">Windward Forest</t>
        </is>
      </c>
      <c r="B25" s="0">
        <f>INDEX(Areas!$C:$C,MATCH($A25,Areas!$B:$B,0))</f>
      </c>
      <c r="C25" s="0">
        <f>MIN(Settings!$B$23,ROUND(INDEX(Monsters!$E:$E,MATCH($B$3,Monsters!$B:$B,0))*(INDEX(Areas!$G:$G,MATCH($A25,Areas!$B:$B,0))/INDEX(Areas!$G:$G,MATCH($B$5,Areas!$B:$B,0)))^Settings!$B$6*INDEX(Areas!$N:$N,MATCH($A25,Areas!$B:$B,0)),0))</f>
      </c>
      <c r="D25" s="0">
        <f>MIN(Settings!$B$24,ROUND(INDEX(Monsters!$F:$F,MATCH($B$3,Monsters!$B:$B,0))*(INDEX(Areas!$H:$H,MATCH($A25,Areas!$B:$B,0))/INDEX(Areas!$H:$H,MATCH($B$5,Areas!$B:$B,0)))^Settings!$B$6*INDEX(Areas!$N:$N,MATCH($A25,Areas!$B:$B,0)),0))</f>
      </c>
      <c r="E25" s="0">
        <f>MIN(Settings!$B$24,ROUND(INDEX(Monsters!$G:$G,MATCH($B$3,Monsters!$B:$B,0))*(INDEX(Areas!$I:$I,MATCH($A25,Areas!$B:$B,0))/INDEX(Areas!$I:$I,MATCH($B$5,Areas!$B:$B,0)))^Settings!$B$6*INDEX(Areas!$N:$N,MATCH($A25,Areas!$B:$B,0)),0))</f>
      </c>
      <c r="F25" s="0">
        <f>MIN(Settings!$B$24,ROUND(INDEX(Monsters!$H:$H,MATCH($B$3,Monsters!$B:$B,0))*(INDEX(Areas!$J:$J,MATCH($A25,Areas!$B:$B,0))/INDEX(Areas!$J:$J,MATCH($B$5,Areas!$B:$B,0)))^Settings!$B$6*INDEX(Areas!$N:$N,MATCH($A25,Areas!$B:$B,0)),0))</f>
      </c>
      <c r="G25" s="0">
        <f>MIN(99999,ROUND(INDEX(Monsters!$I:$I,MATCH($B$3,Monsters!$B:$B,0))*(INDEX(Areas!$K:$K,MATCH($A25,Areas!$B:$B,0))/INDEX(Areas!$K:$K,MATCH($B$5,Areas!$B:$B,0)))^1*INDEX(Areas!$N:$N,MATCH($A25,Areas!$B:$B,0)),0))</f>
      </c>
      <c r="H25" s="0">
        <f>IF(AND(B25&gt;=INDEX(Monsters!$Q:$Q,MATCH($B$3,Monsters!$B:$B,0)),B25&lt;=INDEX(Monsters!$R:$R,MATCH($B$3,Monsters!$B:$B,0))),"yes","no")</f>
      </c>
    </row>
    <row r="26">
      <c r="A26" s="0" t="inlineStr">
        <is>
          <t xml:space="preserve">Blue Cave</t>
        </is>
      </c>
      <c r="B26" s="0">
        <f>INDEX(Areas!$C:$C,MATCH($A26,Areas!$B:$B,0))</f>
      </c>
      <c r="C26" s="0">
        <f>MIN(Settings!$B$23,ROUND(INDEX(Monsters!$E:$E,MATCH($B$3,Monsters!$B:$B,0))*(INDEX(Areas!$G:$G,MATCH($A26,Areas!$B:$B,0))/INDEX(Areas!$G:$G,MATCH($B$5,Areas!$B:$B,0)))^Settings!$B$6*INDEX(Areas!$N:$N,MATCH($A26,Areas!$B:$B,0)),0))</f>
      </c>
      <c r="D26" s="0">
        <f>MIN(Settings!$B$24,ROUND(INDEX(Monsters!$F:$F,MATCH($B$3,Monsters!$B:$B,0))*(INDEX(Areas!$H:$H,MATCH($A26,Areas!$B:$B,0))/INDEX(Areas!$H:$H,MATCH($B$5,Areas!$B:$B,0)))^Settings!$B$6*INDEX(Areas!$N:$N,MATCH($A26,Areas!$B:$B,0)),0))</f>
      </c>
      <c r="E26" s="0">
        <f>MIN(Settings!$B$24,ROUND(INDEX(Monsters!$G:$G,MATCH($B$3,Monsters!$B:$B,0))*(INDEX(Areas!$I:$I,MATCH($A26,Areas!$B:$B,0))/INDEX(Areas!$I:$I,MATCH($B$5,Areas!$B:$B,0)))^Settings!$B$6*INDEX(Areas!$N:$N,MATCH($A26,Areas!$B:$B,0)),0))</f>
      </c>
      <c r="F26" s="0">
        <f>MIN(Settings!$B$24,ROUND(INDEX(Monsters!$H:$H,MATCH($B$3,Monsters!$B:$B,0))*(INDEX(Areas!$J:$J,MATCH($A26,Areas!$B:$B,0))/INDEX(Areas!$J:$J,MATCH($B$5,Areas!$B:$B,0)))^Settings!$B$6*INDEX(Areas!$N:$N,MATCH($A26,Areas!$B:$B,0)),0))</f>
      </c>
      <c r="G26" s="0">
        <f>MIN(99999,ROUND(INDEX(Monsters!$I:$I,MATCH($B$3,Monsters!$B:$B,0))*(INDEX(Areas!$K:$K,MATCH($A26,Areas!$B:$B,0))/INDEX(Areas!$K:$K,MATCH($B$5,Areas!$B:$B,0)))^1*INDEX(Areas!$N:$N,MATCH($A26,Areas!$B:$B,0)),0))</f>
      </c>
      <c r="H26" s="0">
        <f>IF(AND(B26&gt;=INDEX(Monsters!$Q:$Q,MATCH($B$3,Monsters!$B:$B,0)),B26&lt;=INDEX(Monsters!$R:$R,MATCH($B$3,Monsters!$B:$B,0))),"yes","no")</f>
      </c>
    </row>
    <row r="27">
      <c r="A27" s="0" t="inlineStr">
        <is>
          <t xml:space="preserve">Isle of Skye</t>
        </is>
      </c>
      <c r="B27" s="0">
        <f>INDEX(Areas!$C:$C,MATCH($A27,Areas!$B:$B,0))</f>
      </c>
      <c r="C27" s="0">
        <f>MIN(Settings!$B$23,ROUND(INDEX(Monsters!$E:$E,MATCH($B$3,Monsters!$B:$B,0))*(INDEX(Areas!$G:$G,MATCH($A27,Areas!$B:$B,0))/INDEX(Areas!$G:$G,MATCH($B$5,Areas!$B:$B,0)))^Settings!$B$6*INDEX(Areas!$N:$N,MATCH($A27,Areas!$B:$B,0)),0))</f>
      </c>
      <c r="D27" s="0">
        <f>MIN(Settings!$B$24,ROUND(INDEX(Monsters!$F:$F,MATCH($B$3,Monsters!$B:$B,0))*(INDEX(Areas!$H:$H,MATCH($A27,Areas!$B:$B,0))/INDEX(Areas!$H:$H,MATCH($B$5,Areas!$B:$B,0)))^Settings!$B$6*INDEX(Areas!$N:$N,MATCH($A27,Areas!$B:$B,0)),0))</f>
      </c>
      <c r="E27" s="0">
        <f>MIN(Settings!$B$24,ROUND(INDEX(Monsters!$G:$G,MATCH($B$3,Monsters!$B:$B,0))*(INDEX(Areas!$I:$I,MATCH($A27,Areas!$B:$B,0))/INDEX(Areas!$I:$I,MATCH($B$5,Areas!$B:$B,0)))^Settings!$B$6*INDEX(Areas!$N:$N,MATCH($A27,Areas!$B:$B,0)),0))</f>
      </c>
      <c r="F27" s="0">
        <f>MIN(Settings!$B$24,ROUND(INDEX(Monsters!$H:$H,MATCH($B$3,Monsters!$B:$B,0))*(INDEX(Areas!$J:$J,MATCH($A27,Areas!$B:$B,0))/INDEX(Areas!$J:$J,MATCH($B$5,Areas!$B:$B,0)))^Settings!$B$6*INDEX(Areas!$N:$N,MATCH($A27,Areas!$B:$B,0)),0))</f>
      </c>
      <c r="G27" s="0">
        <f>MIN(99999,ROUND(INDEX(Monsters!$I:$I,MATCH($B$3,Monsters!$B:$B,0))*(INDEX(Areas!$K:$K,MATCH($A27,Areas!$B:$B,0))/INDEX(Areas!$K:$K,MATCH($B$5,Areas!$B:$B,0)))^1*INDEX(Areas!$N:$N,MATCH($A27,Areas!$B:$B,0)),0))</f>
      </c>
      <c r="H27" s="0">
        <f>IF(AND(B27&gt;=INDEX(Monsters!$Q:$Q,MATCH($B$3,Monsters!$B:$B,0)),B27&lt;=INDEX(Monsters!$R:$R,MATCH($B$3,Monsters!$B:$B,0))),"yes","no")</f>
      </c>
    </row>
    <row r="28">
      <c r="A28" s="0" t="inlineStr">
        <is>
          <t xml:space="preserve">Baragoon Tunnel</t>
        </is>
      </c>
      <c r="B28" s="0">
        <f>INDEX(Areas!$C:$C,MATCH($A28,Areas!$B:$B,0))</f>
      </c>
      <c r="C28" s="0">
        <f>MIN(Settings!$B$23,ROUND(INDEX(Monsters!$E:$E,MATCH($B$3,Monsters!$B:$B,0))*(INDEX(Areas!$G:$G,MATCH($A28,Areas!$B:$B,0))/INDEX(Areas!$G:$G,MATCH($B$5,Areas!$B:$B,0)))^Settings!$B$6*INDEX(Areas!$N:$N,MATCH($A28,Areas!$B:$B,0)),0))</f>
      </c>
      <c r="D28" s="0">
        <f>MIN(Settings!$B$24,ROUND(INDEX(Monsters!$F:$F,MATCH($B$3,Monsters!$B:$B,0))*(INDEX(Areas!$H:$H,MATCH($A28,Areas!$B:$B,0))/INDEX(Areas!$H:$H,MATCH($B$5,Areas!$B:$B,0)))^Settings!$B$6*INDEX(Areas!$N:$N,MATCH($A28,Areas!$B:$B,0)),0))</f>
      </c>
      <c r="E28" s="0">
        <f>MIN(Settings!$B$24,ROUND(INDEX(Monsters!$G:$G,MATCH($B$3,Monsters!$B:$B,0))*(INDEX(Areas!$I:$I,MATCH($A28,Areas!$B:$B,0))/INDEX(Areas!$I:$I,MATCH($B$5,Areas!$B:$B,0)))^Settings!$B$6*INDEX(Areas!$N:$N,MATCH($A28,Areas!$B:$B,0)),0))</f>
      </c>
      <c r="F28" s="0">
        <f>MIN(Settings!$B$24,ROUND(INDEX(Monsters!$H:$H,MATCH($B$3,Monsters!$B:$B,0))*(INDEX(Areas!$J:$J,MATCH($A28,Areas!$B:$B,0))/INDEX(Areas!$J:$J,MATCH($B$5,Areas!$B:$B,0)))^Settings!$B$6*INDEX(Areas!$N:$N,MATCH($A28,Areas!$B:$B,0)),0))</f>
      </c>
      <c r="G28" s="0">
        <f>MIN(99999,ROUND(INDEX(Monsters!$I:$I,MATCH($B$3,Monsters!$B:$B,0))*(INDEX(Areas!$K:$K,MATCH($A28,Areas!$B:$B,0))/INDEX(Areas!$K:$K,MATCH($B$5,Areas!$B:$B,0)))^1*INDEX(Areas!$N:$N,MATCH($A28,Areas!$B:$B,0)),0))</f>
      </c>
      <c r="H28" s="0">
        <f>IF(AND(B28&gt;=INDEX(Monsters!$Q:$Q,MATCH($B$3,Monsters!$B:$B,0)),B28&lt;=INDEX(Monsters!$R:$R,MATCH($B$3,Monsters!$B:$B,0))),"yes","no")</f>
      </c>
    </row>
    <row r="29">
      <c r="A29" s="0" t="inlineStr">
        <is>
          <t xml:space="preserve">Dindom Dries</t>
        </is>
      </c>
      <c r="B29" s="0">
        <f>INDEX(Areas!$C:$C,MATCH($A29,Areas!$B:$B,0))</f>
      </c>
      <c r="C29" s="0">
        <f>MIN(Settings!$B$23,ROUND(INDEX(Monsters!$E:$E,MATCH($B$3,Monsters!$B:$B,0))*(INDEX(Areas!$G:$G,MATCH($A29,Areas!$B:$B,0))/INDEX(Areas!$G:$G,MATCH($B$5,Areas!$B:$B,0)))^Settings!$B$6*INDEX(Areas!$N:$N,MATCH($A29,Areas!$B:$B,0)),0))</f>
      </c>
      <c r="D29" s="0">
        <f>MIN(Settings!$B$24,ROUND(INDEX(Monsters!$F:$F,MATCH($B$3,Monsters!$B:$B,0))*(INDEX(Areas!$H:$H,MATCH($A29,Areas!$B:$B,0))/INDEX(Areas!$H:$H,MATCH($B$5,Areas!$B:$B,0)))^Settings!$B$6*INDEX(Areas!$N:$N,MATCH($A29,Areas!$B:$B,0)),0))</f>
      </c>
      <c r="E29" s="0">
        <f>MIN(Settings!$B$24,ROUND(INDEX(Monsters!$G:$G,MATCH($B$3,Monsters!$B:$B,0))*(INDEX(Areas!$I:$I,MATCH($A29,Areas!$B:$B,0))/INDEX(Areas!$I:$I,MATCH($B$5,Areas!$B:$B,0)))^Settings!$B$6*INDEX(Areas!$N:$N,MATCH($A29,Areas!$B:$B,0)),0))</f>
      </c>
      <c r="F29" s="0">
        <f>MIN(Settings!$B$24,ROUND(INDEX(Monsters!$H:$H,MATCH($B$3,Monsters!$B:$B,0))*(INDEX(Areas!$J:$J,MATCH($A29,Areas!$B:$B,0))/INDEX(Areas!$J:$J,MATCH($B$5,Areas!$B:$B,0)))^Settings!$B$6*INDEX(Areas!$N:$N,MATCH($A29,Areas!$B:$B,0)),0))</f>
      </c>
      <c r="G29" s="0">
        <f>MIN(99999,ROUND(INDEX(Monsters!$I:$I,MATCH($B$3,Monsters!$B:$B,0))*(INDEX(Areas!$K:$K,MATCH($A29,Areas!$B:$B,0))/INDEX(Areas!$K:$K,MATCH($B$5,Areas!$B:$B,0)))^1*INDEX(Areas!$N:$N,MATCH($A29,Areas!$B:$B,0)),0))</f>
      </c>
      <c r="H29" s="0">
        <f>IF(AND(B29&gt;=INDEX(Monsters!$Q:$Q,MATCH($B$3,Monsters!$B:$B,0)),B29&lt;=INDEX(Monsters!$R:$R,MATCH($B$3,Monsters!$B:$B,0))),"yes","no")</f>
      </c>
    </row>
    <row r="30">
      <c r="A30" s="0" t="inlineStr">
        <is>
          <t xml:space="preserve">Boil Hole</t>
        </is>
      </c>
      <c r="B30" s="0">
        <f>INDEX(Areas!$C:$C,MATCH($A30,Areas!$B:$B,0))</f>
      </c>
      <c r="C30" s="0">
        <f>MIN(Settings!$B$23,ROUND(INDEX(Monsters!$E:$E,MATCH($B$3,Monsters!$B:$B,0))*(INDEX(Areas!$G:$G,MATCH($A30,Areas!$B:$B,0))/INDEX(Areas!$G:$G,MATCH($B$5,Areas!$B:$B,0)))^Settings!$B$6*INDEX(Areas!$N:$N,MATCH($A30,Areas!$B:$B,0)),0))</f>
      </c>
      <c r="D30" s="0">
        <f>MIN(Settings!$B$24,ROUND(INDEX(Monsters!$F:$F,MATCH($B$3,Monsters!$B:$B,0))*(INDEX(Areas!$H:$H,MATCH($A30,Areas!$B:$B,0))/INDEX(Areas!$H:$H,MATCH($B$5,Areas!$B:$B,0)))^Settings!$B$6*INDEX(Areas!$N:$N,MATCH($A30,Areas!$B:$B,0)),0))</f>
      </c>
      <c r="E30" s="0">
        <f>MIN(Settings!$B$24,ROUND(INDEX(Monsters!$G:$G,MATCH($B$3,Monsters!$B:$B,0))*(INDEX(Areas!$I:$I,MATCH($A30,Areas!$B:$B,0))/INDEX(Areas!$I:$I,MATCH($B$5,Areas!$B:$B,0)))^Settings!$B$6*INDEX(Areas!$N:$N,MATCH($A30,Areas!$B:$B,0)),0))</f>
      </c>
      <c r="F30" s="0">
        <f>MIN(Settings!$B$24,ROUND(INDEX(Monsters!$H:$H,MATCH($B$3,Monsters!$B:$B,0))*(INDEX(Areas!$J:$J,MATCH($A30,Areas!$B:$B,0))/INDEX(Areas!$J:$J,MATCH($B$5,Areas!$B:$B,0)))^Settings!$B$6*INDEX(Areas!$N:$N,MATCH($A30,Areas!$B:$B,0)),0))</f>
      </c>
      <c r="G30" s="0">
        <f>MIN(99999,ROUND(INDEX(Monsters!$I:$I,MATCH($B$3,Monsters!$B:$B,0))*(INDEX(Areas!$K:$K,MATCH($A30,Areas!$B:$B,0))/INDEX(Areas!$K:$K,MATCH($B$5,Areas!$B:$B,0)))^1*INDEX(Areas!$N:$N,MATCH($A30,Areas!$B:$B,0)),0))</f>
      </c>
      <c r="H30" s="0">
        <f>IF(AND(B30&gt;=INDEX(Monsters!$Q:$Q,MATCH($B$3,Monsters!$B:$B,0)),B30&lt;=INDEX(Monsters!$R:$R,MATCH($B$3,Monsters!$B:$B,0))),"yes","no")</f>
      </c>
    </row>
    <row r="31">
      <c r="A31" s="0" t="inlineStr">
        <is>
          <t xml:space="preserve">Baragoon Moor</t>
        </is>
      </c>
      <c r="B31" s="0">
        <f>INDEX(Areas!$C:$C,MATCH($A31,Areas!$B:$B,0))</f>
      </c>
      <c r="C31" s="0">
        <f>MIN(Settings!$B$23,ROUND(INDEX(Monsters!$E:$E,MATCH($B$3,Monsters!$B:$B,0))*(INDEX(Areas!$G:$G,MATCH($A31,Areas!$B:$B,0))/INDEX(Areas!$G:$G,MATCH($B$5,Areas!$B:$B,0)))^Settings!$B$6*INDEX(Areas!$N:$N,MATCH($A31,Areas!$B:$B,0)),0))</f>
      </c>
      <c r="D31" s="0">
        <f>MIN(Settings!$B$24,ROUND(INDEX(Monsters!$F:$F,MATCH($B$3,Monsters!$B:$B,0))*(INDEX(Areas!$H:$H,MATCH($A31,Areas!$B:$B,0))/INDEX(Areas!$H:$H,MATCH($B$5,Areas!$B:$B,0)))^Settings!$B$6*INDEX(Areas!$N:$N,MATCH($A31,Areas!$B:$B,0)),0))</f>
      </c>
      <c r="E31" s="0">
        <f>MIN(Settings!$B$24,ROUND(INDEX(Monsters!$G:$G,MATCH($B$3,Monsters!$B:$B,0))*(INDEX(Areas!$I:$I,MATCH($A31,Areas!$B:$B,0))/INDEX(Areas!$I:$I,MATCH($B$5,Areas!$B:$B,0)))^Settings!$B$6*INDEX(Areas!$N:$N,MATCH($A31,Areas!$B:$B,0)),0))</f>
      </c>
      <c r="F31" s="0">
        <f>MIN(Settings!$B$24,ROUND(INDEX(Monsters!$H:$H,MATCH($B$3,Monsters!$B:$B,0))*(INDEX(Areas!$J:$J,MATCH($A31,Areas!$B:$B,0))/INDEX(Areas!$J:$J,MATCH($B$5,Areas!$B:$B,0)))^Settings!$B$6*INDEX(Areas!$N:$N,MATCH($A31,Areas!$B:$B,0)),0))</f>
      </c>
      <c r="G31" s="0">
        <f>MIN(99999,ROUND(INDEX(Monsters!$I:$I,MATCH($B$3,Monsters!$B:$B,0))*(INDEX(Areas!$K:$K,MATCH($A31,Areas!$B:$B,0))/INDEX(Areas!$K:$K,MATCH($B$5,Areas!$B:$B,0)))^1*INDEX(Areas!$N:$N,MATCH($A31,Areas!$B:$B,0)),0))</f>
      </c>
      <c r="H31" s="0">
        <f>IF(AND(B31&gt;=INDEX(Monsters!$Q:$Q,MATCH($B$3,Monsters!$B:$B,0)),B31&lt;=INDEX(Monsters!$R:$R,MATCH($B$3,Monsters!$B:$B,0))),"yes","no")</f>
      </c>
    </row>
    <row r="32">
      <c r="A32" s="0" t="inlineStr">
        <is>
          <t xml:space="preserve">Brannoch Castle</t>
        </is>
      </c>
      <c r="B32" s="0">
        <f>INDEX(Areas!$C:$C,MATCH($A32,Areas!$B:$B,0))</f>
      </c>
      <c r="C32" s="0">
        <f>MIN(Settings!$B$23,ROUND(INDEX(Monsters!$E:$E,MATCH($B$3,Monsters!$B:$B,0))*(INDEX(Areas!$G:$G,MATCH($A32,Areas!$B:$B,0))/INDEX(Areas!$G:$G,MATCH($B$5,Areas!$B:$B,0)))^Settings!$B$6*INDEX(Areas!$N:$N,MATCH($A32,Areas!$B:$B,0)),0))</f>
      </c>
      <c r="D32" s="0">
        <f>MIN(Settings!$B$24,ROUND(INDEX(Monsters!$F:$F,MATCH($B$3,Monsters!$B:$B,0))*(INDEX(Areas!$H:$H,MATCH($A32,Areas!$B:$B,0))/INDEX(Areas!$H:$H,MATCH($B$5,Areas!$B:$B,0)))^Settings!$B$6*INDEX(Areas!$N:$N,MATCH($A32,Areas!$B:$B,0)),0))</f>
      </c>
      <c r="E32" s="0">
        <f>MIN(Settings!$B$24,ROUND(INDEX(Monsters!$G:$G,MATCH($B$3,Monsters!$B:$B,0))*(INDEX(Areas!$I:$I,MATCH($A32,Areas!$B:$B,0))/INDEX(Areas!$I:$I,MATCH($B$5,Areas!$B:$B,0)))^Settings!$B$6*INDEX(Areas!$N:$N,MATCH($A32,Areas!$B:$B,0)),0))</f>
      </c>
      <c r="F32" s="0">
        <f>MIN(Settings!$B$24,ROUND(INDEX(Monsters!$H:$H,MATCH($B$3,Monsters!$B:$B,0))*(INDEX(Areas!$J:$J,MATCH($A32,Areas!$B:$B,0))/INDEX(Areas!$J:$J,MATCH($B$5,Areas!$B:$B,0)))^Settings!$B$6*INDEX(Areas!$N:$N,MATCH($A32,Areas!$B:$B,0)),0))</f>
      </c>
      <c r="G32" s="0">
        <f>MIN(99999,ROUND(INDEX(Monsters!$I:$I,MATCH($B$3,Monsters!$B:$B,0))*(INDEX(Areas!$K:$K,MATCH($A32,Areas!$B:$B,0))/INDEX(Areas!$K:$K,MATCH($B$5,Areas!$B:$B,0)))^1*INDEX(Areas!$N:$N,MATCH($A32,Areas!$B:$B,0)),0))</f>
      </c>
      <c r="H32" s="0">
        <f>IF(AND(B32&gt;=INDEX(Monsters!$Q:$Q,MATCH($B$3,Monsters!$B:$B,0)),B32&lt;=INDEX(Monsters!$R:$R,MATCH($B$3,Monsters!$B:$B,0))),"yes","no")</f>
      </c>
    </row>
    <row r="33">
      <c r="A33" s="0" t="inlineStr">
        <is>
          <t xml:space="preserve">Mammon's World</t>
        </is>
      </c>
      <c r="B33" s="0">
        <f>INDEX(Areas!$C:$C,MATCH($A33,Areas!$B:$B,0))</f>
      </c>
      <c r="C33" s="0">
        <f>MIN(Settings!$B$23,ROUND(INDEX(Monsters!$E:$E,MATCH($B$3,Monsters!$B:$B,0))*(INDEX(Areas!$G:$G,MATCH($A33,Areas!$B:$B,0))/INDEX(Areas!$G:$G,MATCH($B$5,Areas!$B:$B,0)))^Settings!$B$6*INDEX(Areas!$N:$N,MATCH($A33,Areas!$B:$B,0)),0))</f>
      </c>
      <c r="D33" s="0">
        <f>MIN(Settings!$B$24,ROUND(INDEX(Monsters!$F:$F,MATCH($B$3,Monsters!$B:$B,0))*(INDEX(Areas!$H:$H,MATCH($A33,Areas!$B:$B,0))/INDEX(Areas!$H:$H,MATCH($B$5,Areas!$B:$B,0)))^Settings!$B$6*INDEX(Areas!$N:$N,MATCH($A33,Areas!$B:$B,0)),0))</f>
      </c>
      <c r="E33" s="0">
        <f>MIN(Settings!$B$24,ROUND(INDEX(Monsters!$G:$G,MATCH($B$3,Monsters!$B:$B,0))*(INDEX(Areas!$I:$I,MATCH($A33,Areas!$B:$B,0))/INDEX(Areas!$I:$I,MATCH($B$5,Areas!$B:$B,0)))^Settings!$B$6*INDEX(Areas!$N:$N,MATCH($A33,Areas!$B:$B,0)),0))</f>
      </c>
      <c r="F33" s="0">
        <f>MIN(Settings!$B$24,ROUND(INDEX(Monsters!$H:$H,MATCH($B$3,Monsters!$B:$B,0))*(INDEX(Areas!$J:$J,MATCH($A33,Areas!$B:$B,0))/INDEX(Areas!$J:$J,MATCH($B$5,Areas!$B:$B,0)))^Settings!$B$6*INDEX(Areas!$N:$N,MATCH($A33,Areas!$B:$B,0)),0))</f>
      </c>
      <c r="G33" s="0">
        <f>MIN(99999,ROUND(INDEX(Monsters!$I:$I,MATCH($B$3,Monsters!$B:$B,0))*(INDEX(Areas!$K:$K,MATCH($A33,Areas!$B:$B,0))/INDEX(Areas!$K:$K,MATCH($B$5,Areas!$B:$B,0)))^1*INDEX(Areas!$N:$N,MATCH($A33,Areas!$B:$B,0)),0))</f>
      </c>
      <c r="H33" s="0">
        <f>IF(AND(B33&gt;=INDEX(Monsters!$Q:$Q,MATCH($B$3,Monsters!$B:$B,0)),B33&lt;=INDEX(Monsters!$R:$R,MATCH($B$3,Monsters!$B:$B,0))),"yes","no")</f>
      </c>
    </row>
  </sheetData>
</worksheet>
</file>

<file path=xl/worksheets/sheet7.xml><?xml version="1.0" encoding="utf-8"?>
<worksheet xmlns="http://schemas.openxmlformats.org/spreadsheetml/2006/main">
  <sheetViews>
    <sheetView workbookViewId="0"/>
  </sheetViews>
  <cols>
    <col min="1" max="1" width="120" customWidth="1"/>
  </cols>
  <sheetData>
    <row r="1">
      <c r="A1" s="4" t="inlineStr">
        <is>
          <t xml:space="preserve">Implementation notes (for the recomp's randomizer)</t>
        </is>
      </c>
    </row>
    <row r="2">
      <c r="A2" s="6" t="inlineStr">
        <is>
          <t xml:space="preserve">What the game stores</t>
        </is>
      </c>
    </row>
    <row r="3">
      <c r="A3" s="3" t="inlineStr">
        <is>
          <t xml:space="preserve">Six monster tables, one per world chunk: table 0 (ROM 0xADC090) Holy Plains + West Carmaugh, 1 (0xB63378) Connor / Dondoran Flats / Glencoe, 2 (0xBBDE98) Cull Hazard / Blue Cave / East Limelin, 3 (0xC317E8) Dindom / Boil Hole / Baragoon Moor / Brannoch, 4 (0xC9BE50) Windward / Isle of Skye / Baragoon Tunnel, 5 Mammon's World. Each area's 0x18-byte map header holds the table index it uses (merrow_mapdata.cpp AreaMap.table_index).</t>
        </is>
      </c>
    </row>
    <row r="4">
      <c r="A4" s="3" t="inlineStr">
        <is>
          <t xml:space="preserve">Encounters are packs: up to four (table slot, always-count, extra-count) entries, written as packCount*3 words at the pack's ROM address. Regions pick from up to seven pack presets. Baragoon Moor 1-2, Brannoch 1-6 and Mammon 1-6 share pack definitions, so those submaps must be treated as one area (the sheet already merges them).</t>
        </is>
      </c>
    </row>
    <row r="5">
      <c r="A5" s="3" t="inlineStr">
        <is>
          <t xml:space="preserve">Monster stats are six halfwords per monster at the addresses in Monsters!S (HP is stored twice in a row; Merrow's one-hit-KO writes both). The randomizer already writes them (options.monster_stats / monster_scale), so rescaled stats are the same Write records.</t>
        </is>
      </c>
    </row>
    <row r="6">
      <c r="A6" s="6" t="inlineStr">
        <is>
          <t xml:space="preserve">Algorithm (boot time, pure function of seed + settings)</t>
        </is>
      </c>
    </row>
    <row r="7">
      <c r="A7" s="3" t="inlineStr">
        <is>
          <t xml:space="preserve">1. Read tiers, spread, k from the options. 2. For each area in progression order: pool = monsters with Placeable-from &lt;= tier &lt;= Placeable-to, minus monsters already placed in this tier and its neighbours where possible, minus fliers over the cap. 3. Draw roster-size monsters from the pool (seeded RNG). 4. Build the area's table: either (a) point the area at the table that already holds those monsters when they all come from one chunk, or (b) write a new table into free ROM space listing the chosen monsters' entries. 5. Keep the pack shapes, remap each pack member's slot to the new roster. 6. For each placed monster, write scaled stats. 7. Spoiler log: area -&gt; roster with scaled stats.</t>
        </is>
      </c>
    </row>
    <row r="8">
      <c r="A8" s="6" t="inlineStr">
        <is>
          <t xml:space="preserve">The one thing to verify first</t>
        </is>
      </c>
    </row>
    <row r="9">
      <c r="A9" s="3" t="inlineStr">
        <is>
          <t xml:space="preserve">Whether a table can mix monsters from different chunks, i.e. whether a monster's model and animation data is reachable from any area or only from its own chunk's overlay. Merrow's table swap already makes an area use another chunk's whole table, which suggests monsters load from wherever their table entry points; a 10-minute test is to hand-write one table entry (e.g. put a Wyvern into table 0) and walk into the Holy Plains. If cross-chunk placement is not possible, the fallback is spread = 0 within each chunk plus stat scaling, which still fixes the difficulty problem but with smaller pools.</t>
        </is>
      </c>
    </row>
    <row r="10">
      <c r="A10" s="6" t="inlineStr">
        <is>
          <t xml:space="preserve">Where it goes in the code</t>
        </is>
      </c>
    </row>
    <row r="11">
      <c r="A11" s="3" t="inlineStr">
        <is>
          <t xml:space="preserve">src/game/randomizer/randomizer.cpp shuffle_enemies() already owns the table index / pack writes; add the tier pool selection there and the stat writes next to the existing monster_stats writes. Options: enemy_progression (bool), enemy_spread_down and enemy_spread_up (int), enemy_scale_strength (0/50/100 %), enemy_max_fliers. The per-area tiers and the progression budgets are constants derived from the Areas tab. UI: four controls under the existing "Enemy shuffling" group on the Randomizer tab. The tier table itself can be a constant array (one tier per area, from the Areas tab).</t>
        </is>
      </c>
    </row>
    <row r="12">
      <c r="A12" s="6" t="inlineStr">
        <is>
          <t xml:space="preserve">Open questions</t>
        </is>
      </c>
    </row>
    <row r="13">
      <c r="A13" s="3" t="inlineStr">
        <is>
          <t xml:space="preserve">Should exp scale with k or always fully (this sheet says always)? Do the story bosses' areas (Connor, Windward, Blue Cave, Boil Hole, Moor, Brannoch) need the boss's own minions kept vanilla for the fight leading up to them?</t>
        </is>
      </c>
    </row>
  </sheetData>
</worksheet>
</file>